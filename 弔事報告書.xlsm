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04" codeName="{00000000-0000-0000-0000-000000000000}"/>
  <workbookPr codeName="ThisWorkbook"/>
  <mc:AlternateContent xmlns:mc="http://schemas.openxmlformats.org/markup-compatibility/2006">
    <mc:Choice Requires="x15">
      <x15ac:absPath xmlns:x15ac="http://schemas.microsoft.com/office/spreadsheetml/2010/11/ac" url="C:\Users\1577993\Downloads\"/>
    </mc:Choice>
  </mc:AlternateContent>
  <xr:revisionPtr revIDLastSave="0" documentId="8_{C8111199-71B8-4E93-A8D1-C6604909575F}" xr6:coauthVersionLast="47" xr6:coauthVersionMax="47" xr10:uidLastSave="{00000000-0000-0000-0000-000000000000}"/>
  <bookViews>
    <workbookView xWindow="-120" yWindow="-120" windowWidth="20730" windowHeight="11160" tabRatio="741" xr2:uid="{00000000-000D-0000-FFFF-FFFF00000000}"/>
  </bookViews>
  <sheets>
    <sheet name="弔事報告書" sheetId="3" r:id="rId1"/>
    <sheet name="供花（家族）" sheetId="6" r:id="rId2"/>
    <sheet name="供花（本人）" sheetId="5" r:id="rId3"/>
    <sheet name="電報（メグリア一括手配）" sheetId="8" r:id="rId4"/>
    <sheet name="弔電申込方法" sheetId="16" r:id="rId5"/>
    <sheet name="メール" sheetId="14" r:id="rId6"/>
    <sheet name="プルダウンリスト" sheetId="2" r:id="rId7"/>
    <sheet name="元データ" sheetId="4" r:id="rId8"/>
  </sheets>
  <externalReferences>
    <externalReference r:id="rId9"/>
    <externalReference r:id="rId10"/>
    <externalReference r:id="rId11"/>
  </externalReferences>
  <definedNames>
    <definedName name="_4_01年LEXUS更新分">#REF!</definedName>
    <definedName name="_5_01年TOYOTA更新分">#REF!</definedName>
    <definedName name="_xlnm._FilterDatabase" localSheetId="7" hidden="1">元データ!$A$4:$Y$60</definedName>
    <definedName name="o">#REF!</definedName>
    <definedName name="_xlnm.Print_Area" localSheetId="1">'供花（家族）'!$B$1:$AJ$49</definedName>
    <definedName name="_xlnm.Print_Area" localSheetId="2">'供花（本人）'!$A$1:$AK$59</definedName>
    <definedName name="_xlnm.Print_Area" localSheetId="4">弔電申込方法!$A$1:$J$36</definedName>
    <definedName name="_xlnm.Print_Area" localSheetId="3">'電報（メグリア一括手配）'!$A$1:$U$50</definedName>
    <definedName name="qryCR">[1]Filtered_Query_Results!$A$2:$AF$4636</definedName>
    <definedName name="い">#REF!</definedName>
    <definedName name="コンテンツの種類">#REF!</definedName>
    <definedName name="シリーズ">#REF!</definedName>
    <definedName name="シリーズ.">#REF!</definedName>
    <definedName name="テスト">#REF!</definedName>
    <definedName name="ルール・ガイドライン">#REF!</definedName>
    <definedName name="ルール・ガイドライン2">[2]マスタ!$D$2:$D$4</definedName>
    <definedName name="れ">#REF!</definedName>
    <definedName name="レタックス">#REF!</definedName>
    <definedName name="ロゴ">#REF!</definedName>
    <definedName name="ロゴ.">#REF!</definedName>
    <definedName name="過去の放送履歴">#REF!</definedName>
    <definedName name="開発技術室UT200">#REF!</definedName>
    <definedName name="開発技術室UT210">#REF!</definedName>
    <definedName name="開発技術室UT220">#REF!</definedName>
    <definedName name="開発技術室UT240">#REF!</definedName>
    <definedName name="開発技術室UT250">#REF!</definedName>
    <definedName name="開発計画室UT100">#REF!</definedName>
    <definedName name="開発計画室UT120">#REF!</definedName>
    <definedName name="開発計画室UT130">#REF!</definedName>
    <definedName name="開発計画室UT150">#REF!</definedName>
    <definedName name="開発計画室UT160">#REF!</definedName>
    <definedName name="該当無">#REF!</definedName>
    <definedName name="該当無UT000">#REF!</definedName>
    <definedName name="工程改善室UT300">#REF!</definedName>
    <definedName name="工程改善室UT310">#REF!</definedName>
    <definedName name="工程改善室UT320">#REF!</definedName>
    <definedName name="工程改善室UT330">#REF!</definedName>
    <definedName name="工程改善室UT340">#REF!</definedName>
    <definedName name="工程改善室UT350">#REF!</definedName>
    <definedName name="工程改善室UT360">#REF!</definedName>
    <definedName name="社員区分">'[3]社員区分 '!$A:$IV</definedName>
    <definedName name="重要コンテンツ">#REF!</definedName>
    <definedName name="重要コンテンツ.">#REF!</definedName>
    <definedName name="場所">[3]場所!$A:$IV</definedName>
    <definedName name="職種">'[3]職種 '!$A:$IV</definedName>
    <definedName name="性別">[3]性別!$A:$IV</definedName>
    <definedName name="地区">[2]マスタ!$E$2:$E$5</definedName>
    <definedName name="部署">[3]部署!$A:$IV</definedName>
    <definedName name="放送カテゴリ">#REF!</definedName>
    <definedName name="放送カテゴリ.">#REF!</definedName>
    <definedName name="放送時間枠">#REF!</definedName>
    <definedName name="放送時間枠.">#REF!</definedName>
    <definedName name="放送時間枠2">[2]マスタ!$B$2:$B$4</definedName>
    <definedName name="役職">'[3]役職 '!$A:$IV</definedName>
    <definedName name="有無">#REF!</definedName>
    <definedName name="有無.">#REF!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8" l="1"/>
  <c r="D2" i="8"/>
  <c r="E2" i="8"/>
  <c r="AH1" i="6"/>
  <c r="AE1" i="6"/>
  <c r="AA1" i="6"/>
  <c r="AH1" i="5"/>
  <c r="AE1" i="5"/>
  <c r="AA1" i="5"/>
  <c r="X16" i="3"/>
  <c r="F21" i="3"/>
  <c r="F10" i="3"/>
  <c r="F34" i="6" l="1"/>
  <c r="T34" i="6" s="1"/>
  <c r="F43" i="5"/>
  <c r="AA42" i="5" l="1"/>
  <c r="X41" i="5"/>
  <c r="AA33" i="6"/>
  <c r="X32" i="6"/>
  <c r="F29" i="3"/>
  <c r="X40" i="5" l="1"/>
  <c r="T43" i="5"/>
  <c r="L3" i="6" l="1"/>
  <c r="X31" i="6" l="1"/>
  <c r="AC20" i="5"/>
  <c r="AC16" i="5"/>
  <c r="H4" i="14" l="1"/>
  <c r="G26" i="6" l="1"/>
  <c r="G37" i="5"/>
  <c r="G35" i="5"/>
  <c r="A44" i="3" l="1"/>
  <c r="L40" i="3" s="1"/>
  <c r="Z47" i="3" l="1"/>
  <c r="L47" i="3"/>
  <c r="L46" i="3"/>
  <c r="L3" i="5" l="1"/>
  <c r="N7" i="8" l="1"/>
  <c r="C7" i="8"/>
  <c r="M6" i="8" l="1"/>
  <c r="Y50" i="5" l="1"/>
  <c r="Y41" i="6"/>
  <c r="K41" i="6" l="1"/>
  <c r="K39" i="6"/>
  <c r="F32" i="6"/>
  <c r="F31" i="6"/>
  <c r="X30" i="6"/>
  <c r="P30" i="6"/>
  <c r="H30" i="6"/>
  <c r="G28" i="6"/>
  <c r="Y24" i="6"/>
  <c r="V24" i="6"/>
  <c r="Q24" i="6"/>
  <c r="K24" i="6"/>
  <c r="G24" i="6"/>
  <c r="K50" i="5"/>
  <c r="K48" i="5"/>
  <c r="F41" i="5"/>
  <c r="F40" i="5"/>
  <c r="X39" i="5"/>
  <c r="P39" i="5"/>
  <c r="H39" i="5"/>
  <c r="Y33" i="5"/>
  <c r="V33" i="5"/>
  <c r="Q33" i="5"/>
  <c r="K33" i="5"/>
  <c r="G33" i="5"/>
  <c r="X21" i="6"/>
  <c r="P21" i="6"/>
  <c r="H21" i="6"/>
  <c r="G19" i="6"/>
  <c r="G17" i="6"/>
  <c r="Y15" i="6"/>
  <c r="V15" i="6"/>
  <c r="Q15" i="6"/>
  <c r="K15" i="6"/>
  <c r="G15" i="6"/>
  <c r="X30" i="5"/>
  <c r="P30" i="5"/>
  <c r="H30" i="5"/>
  <c r="G28" i="5"/>
  <c r="G26" i="5"/>
  <c r="Y24" i="5"/>
  <c r="V24" i="5"/>
  <c r="Q24" i="5"/>
  <c r="K24" i="5"/>
  <c r="G24" i="5"/>
  <c r="L41" i="3" l="1"/>
  <c r="C15" i="8" l="1"/>
  <c r="C14" i="8"/>
  <c r="C12" i="8"/>
  <c r="P11" i="8"/>
  <c r="L11" i="8"/>
  <c r="G11" i="8"/>
  <c r="V46" i="3" l="1"/>
  <c r="V40" i="3" l="1"/>
  <c r="Z49" i="3"/>
  <c r="V44" i="3"/>
  <c r="L45" i="3"/>
  <c r="V43" i="3"/>
  <c r="L44" i="3"/>
  <c r="Z43" i="3"/>
  <c r="V42" i="3"/>
  <c r="L43" i="3"/>
  <c r="L42" i="3"/>
  <c r="V41" i="3"/>
  <c r="V45" i="3"/>
  <c r="Z41" i="3"/>
  <c r="R11" i="6" s="1"/>
  <c r="L4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Kato, Yuko/加藤 悠子</author>
    <author>Takahashi, Mimi/高橋 美海</author>
  </authors>
  <commentList>
    <comment ref="X11" authorId="0" shapeId="0" xr:uid="{00000000-0006-0000-0000-000001000000}">
      <text>
        <r>
          <rPr>
            <sz val="9"/>
            <color indexed="81"/>
            <rFont val="MS P ゴシック"/>
            <family val="3"/>
            <charset val="128"/>
          </rPr>
          <t>再雇用者は定年時の資格を選択</t>
        </r>
      </text>
    </comment>
    <comment ref="Y55" authorId="1" shapeId="0" xr:uid="{00000000-0006-0000-0000-000002000000}">
      <text>
        <r>
          <rPr>
            <b/>
            <sz val="9"/>
            <color indexed="81"/>
            <rFont val="MS P ゴシック"/>
            <family val="3"/>
            <charset val="128"/>
          </rPr>
          <t>「供花手配書」「電報依頼書」にも自動反映されます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Takahashi, Mimi/高橋 美海</author>
  </authors>
  <commentList>
    <comment ref="B2" authorId="0" shapeId="0" xr:uid="{00000000-0006-0000-0200-000001000000}">
      <text>
        <r>
          <rPr>
            <b/>
            <sz val="9"/>
            <color indexed="81"/>
            <rFont val="MS P ゴシック"/>
            <family val="3"/>
            <charset val="128"/>
          </rPr>
          <t>手配先を選択ください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Takahashi, Mimi/高橋 美海</author>
    <author>MIMI TAKAHASHI/高橋　美海</author>
  </authors>
  <commentList>
    <comment ref="B2" authorId="0" shapeId="0" xr:uid="{00000000-0006-0000-0100-000001000000}">
      <text>
        <r>
          <rPr>
            <b/>
            <sz val="9"/>
            <color indexed="81"/>
            <rFont val="MS P ゴシック"/>
            <family val="3"/>
            <charset val="128"/>
          </rPr>
          <t>手配先を選択ください</t>
        </r>
      </text>
    </comment>
    <comment ref="M16" authorId="1" shapeId="0" xr:uid="{00000000-0006-0000-0100-000002000000}">
      <text>
        <r>
          <rPr>
            <b/>
            <sz val="9"/>
            <color indexed="81"/>
            <rFont val="MS P ゴシック"/>
            <family val="3"/>
            <charset val="128"/>
          </rPr>
          <t>役職名</t>
        </r>
      </text>
    </comment>
    <comment ref="AC16" authorId="1" shapeId="0" xr:uid="{00000000-0006-0000-0100-000003000000}">
      <text>
        <r>
          <rPr>
            <b/>
            <sz val="9"/>
            <color indexed="81"/>
            <rFont val="MS P ゴシック"/>
            <family val="3"/>
            <charset val="128"/>
          </rPr>
          <t>役職者氏名</t>
        </r>
      </text>
    </comment>
    <comment ref="M20" authorId="1" shapeId="0" xr:uid="{00000000-0006-0000-0100-000004000000}">
      <text>
        <r>
          <rPr>
            <b/>
            <sz val="9"/>
            <color indexed="81"/>
            <rFont val="MS P ゴシック"/>
            <family val="3"/>
            <charset val="128"/>
          </rPr>
          <t>役職名</t>
        </r>
      </text>
    </comment>
    <comment ref="AC20" authorId="1" shapeId="0" xr:uid="{00000000-0006-0000-0100-000005000000}">
      <text>
        <r>
          <rPr>
            <b/>
            <sz val="9"/>
            <color indexed="81"/>
            <rFont val="MS P ゴシック"/>
            <family val="3"/>
            <charset val="128"/>
          </rPr>
          <t>役職者氏名</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Takahashi, Mimi/高橋 美海</author>
  </authors>
  <commentList>
    <comment ref="I4" authorId="0" shapeId="0" xr:uid="{00000000-0006-0000-0500-000001000000}">
      <text>
        <r>
          <rPr>
            <b/>
            <sz val="9"/>
            <color indexed="81"/>
            <rFont val="MS P ゴシック"/>
            <family val="3"/>
            <charset val="128"/>
          </rPr>
          <t>関数のメモ
="関係者各位"&amp;CHAR(10)&amp;CHAR(10)&amp;"************************************************* "&amp;CHAR(10)&amp;"        　　　　 弔  事  連  絡"&amp;CHAR(10)&amp;" *************************************************"&amp;CHAR(10)&amp;CHAR(10)&amp;"標記の件、謹んでご連絡致します。"&amp;CHAR(10)&amp;"通夜/葬式等の詳細は添付資料をご確認ください。"&amp;CHAR(10)&amp;CHAR(10)&amp;" ■申請者情報"&amp;CHAR(10)&amp;"　　"&amp;弔事報告書!F$11&amp;"（"&amp;弔事報告書!AA9&amp;")"&amp;CHAR(10)&amp;CHAR(10)&amp;"■ご逝去された方"&amp;CHAR(10)&amp;"　　"&amp;弔事報告書!F$16&amp;"（"&amp;"申請者との続柄："&amp;弔事報告書!AA15&amp;")"&amp;CHAR(10)&amp;CHAR(10)&amp;"以上、よろしくお願いします。"</t>
        </r>
      </text>
    </comment>
  </commentList>
</comments>
</file>

<file path=xl/sharedStrings.xml><?xml version="1.0" encoding="utf-8"?>
<sst xmlns="http://schemas.openxmlformats.org/spreadsheetml/2006/main" count="1187" uniqueCount="533">
  <si>
    <t>※ﾌｧﾐﾘｰﾌｧﾝﾄﾞ弔慰金は廃止となりました(20.4～)</t>
    <phoneticPr fontId="1"/>
  </si>
  <si>
    <t>2024.4.1改定</t>
    <rPh sb="8" eb="10">
      <t>カイテイ</t>
    </rPh>
    <phoneticPr fontId="1"/>
  </si>
  <si>
    <t>※組合や社内団体(部長会、幹の会、三層会等）への連絡もお願いします（詳細は下部に記載）</t>
    <phoneticPr fontId="1"/>
  </si>
  <si>
    <t>西暦</t>
    <rPh sb="0" eb="2">
      <t>セイレキ</t>
    </rPh>
    <phoneticPr fontId="1"/>
  </si>
  <si>
    <t>年</t>
    <rPh sb="0" eb="1">
      <t>ネン</t>
    </rPh>
    <phoneticPr fontId="1"/>
  </si>
  <si>
    <t>月</t>
    <rPh sb="0" eb="1">
      <t>ツキ</t>
    </rPh>
    <phoneticPr fontId="1"/>
  </si>
  <si>
    <t>日</t>
    <rPh sb="0" eb="1">
      <t>ニチ</t>
    </rPh>
    <phoneticPr fontId="1"/>
  </si>
  <si>
    <t>申請</t>
    <rPh sb="0" eb="2">
      <t>シンセイ</t>
    </rPh>
    <phoneticPr fontId="1"/>
  </si>
  <si>
    <t>…選択肢有</t>
    <rPh sb="1" eb="4">
      <t>センタクシ</t>
    </rPh>
    <rPh sb="4" eb="5">
      <t>アリ</t>
    </rPh>
    <phoneticPr fontId="1"/>
  </si>
  <si>
    <t>…自動反映</t>
    <rPh sb="1" eb="3">
      <t>ジドウ</t>
    </rPh>
    <rPh sb="3" eb="5">
      <t>ハンエイ</t>
    </rPh>
    <phoneticPr fontId="1"/>
  </si>
  <si>
    <t>…手動入力</t>
    <rPh sb="1" eb="3">
      <t>シュドウ</t>
    </rPh>
    <rPh sb="3" eb="5">
      <t>ニュウリョク</t>
    </rPh>
    <phoneticPr fontId="1"/>
  </si>
  <si>
    <t>トヨタパーソナルサポート（株）人事厚生部</t>
    <phoneticPr fontId="1"/>
  </si>
  <si>
    <t>御中【ag-choji@mail.toyota.co.jp】</t>
    <rPh sb="0" eb="2">
      <t>オンチュウ</t>
    </rPh>
    <phoneticPr fontId="1"/>
  </si>
  <si>
    <t>拠点人事・部総括</t>
    <phoneticPr fontId="1"/>
  </si>
  <si>
    <t>所属部署</t>
    <rPh sb="0" eb="4">
      <t>ショゾクブショ</t>
    </rPh>
    <phoneticPr fontId="1"/>
  </si>
  <si>
    <t>*電子印可</t>
    <rPh sb="1" eb="3">
      <t>デンシ</t>
    </rPh>
    <rPh sb="3" eb="4">
      <t>イン</t>
    </rPh>
    <rPh sb="4" eb="5">
      <t>カ</t>
    </rPh>
    <phoneticPr fontId="1"/>
  </si>
  <si>
    <t>トヨタ自動車㈱ 秘書部</t>
    <rPh sb="10" eb="11">
      <t>ブ</t>
    </rPh>
    <phoneticPr fontId="1"/>
  </si>
  <si>
    <t>御中【aa-choji@mail.toyota.co.jp】</t>
    <rPh sb="0" eb="2">
      <t>オンチュウ</t>
    </rPh>
    <phoneticPr fontId="1"/>
  </si>
  <si>
    <t>GM</t>
    <phoneticPr fontId="1"/>
  </si>
  <si>
    <t>部長</t>
    <rPh sb="0" eb="2">
      <t>ブチョウ</t>
    </rPh>
    <phoneticPr fontId="1"/>
  </si>
  <si>
    <t>室課長</t>
    <rPh sb="0" eb="1">
      <t>シツ</t>
    </rPh>
    <rPh sb="1" eb="3">
      <t>カチョウ</t>
    </rPh>
    <phoneticPr fontId="1"/>
  </si>
  <si>
    <t>GM工長</t>
    <rPh sb="2" eb="4">
      <t>コウチョウ</t>
    </rPh>
    <phoneticPr fontId="1"/>
  </si>
  <si>
    <t>弔事報告書</t>
    <rPh sb="0" eb="2">
      <t>チョウジ</t>
    </rPh>
    <rPh sb="2" eb="5">
      <t>ホウコクショ</t>
    </rPh>
    <phoneticPr fontId="1"/>
  </si>
  <si>
    <t>　（部内取り回し～伝票処理まで）</t>
    <rPh sb="2" eb="4">
      <t>ブナイ</t>
    </rPh>
    <rPh sb="4" eb="5">
      <t>ト</t>
    </rPh>
    <rPh sb="6" eb="7">
      <t>マワ</t>
    </rPh>
    <rPh sb="9" eb="13">
      <t>デンピョウショリ</t>
    </rPh>
    <phoneticPr fontId="1"/>
  </si>
  <si>
    <t>決裁№</t>
    <rPh sb="0" eb="2">
      <t>ケッサイ</t>
    </rPh>
    <phoneticPr fontId="1"/>
  </si>
  <si>
    <t>（申請者：記入者ではなく、弔事があった従業員の情報）</t>
    <phoneticPr fontId="1"/>
  </si>
  <si>
    <t>帳票ﾙｰﾄ：従業員→所属部署→拠点人事/部総括</t>
    <phoneticPr fontId="1"/>
  </si>
  <si>
    <t>←見本（コピー利用可）</t>
    <phoneticPr fontId="1"/>
  </si>
  <si>
    <t>申請者情報</t>
    <phoneticPr fontId="1"/>
  </si>
  <si>
    <t>従業員区分</t>
    <rPh sb="0" eb="3">
      <t>ジュウギョウイン</t>
    </rPh>
    <rPh sb="3" eb="5">
      <t>クブン</t>
    </rPh>
    <phoneticPr fontId="1"/>
  </si>
  <si>
    <t>業務区分</t>
    <rPh sb="0" eb="2">
      <t>ギョウム</t>
    </rPh>
    <rPh sb="2" eb="4">
      <t>クブン</t>
    </rPh>
    <phoneticPr fontId="1"/>
  </si>
  <si>
    <t>ﾛｹｰｼｮﾝ</t>
    <phoneticPr fontId="1"/>
  </si>
  <si>
    <t>所属名</t>
    <rPh sb="0" eb="2">
      <t>ショゾク</t>
    </rPh>
    <rPh sb="2" eb="3">
      <t>メイ</t>
    </rPh>
    <phoneticPr fontId="1"/>
  </si>
  <si>
    <t>所属コード</t>
    <rPh sb="0" eb="2">
      <t>ショゾク</t>
    </rPh>
    <phoneticPr fontId="1"/>
  </si>
  <si>
    <t>★手配基準自動表示について</t>
    <rPh sb="1" eb="3">
      <t>テハイ</t>
    </rPh>
    <rPh sb="3" eb="5">
      <t>キジュン</t>
    </rPh>
    <rPh sb="5" eb="9">
      <t>ジドウヒョウジ</t>
    </rPh>
    <phoneticPr fontId="1"/>
  </si>
  <si>
    <t>フリガナ</t>
    <phoneticPr fontId="1"/>
  </si>
  <si>
    <t>印</t>
    <rPh sb="0" eb="1">
      <t>イン</t>
    </rPh>
    <phoneticPr fontId="1"/>
  </si>
  <si>
    <t>従業員番号</t>
    <rPh sb="0" eb="3">
      <t>ジュウギョウイン</t>
    </rPh>
    <rPh sb="3" eb="5">
      <t>バンゴウ</t>
    </rPh>
    <phoneticPr fontId="1"/>
  </si>
  <si>
    <r>
      <t>「従業員区分」「業務区分」「資格」「申請者との続柄」の</t>
    </r>
    <r>
      <rPr>
        <b/>
        <sz val="11"/>
        <color theme="1"/>
        <rFont val="BIZ UDPゴシック"/>
        <family val="3"/>
        <charset val="128"/>
      </rPr>
      <t>４項目を入力</t>
    </r>
    <r>
      <rPr>
        <sz val="11"/>
        <color theme="1"/>
        <rFont val="BIZ UDPゴシック"/>
        <family val="3"/>
        <charset val="128"/>
      </rPr>
      <t>することで表示されます。</t>
    </r>
    <rPh sb="1" eb="6">
      <t>ジュウギョウインクブン</t>
    </rPh>
    <rPh sb="8" eb="12">
      <t>ギョウムクブン</t>
    </rPh>
    <rPh sb="14" eb="16">
      <t>シカク</t>
    </rPh>
    <rPh sb="18" eb="21">
      <t>シンセイシャ</t>
    </rPh>
    <rPh sb="23" eb="25">
      <t>ゾクガラ</t>
    </rPh>
    <rPh sb="28" eb="30">
      <t>コウモク</t>
    </rPh>
    <rPh sb="31" eb="33">
      <t>ニュウリョク</t>
    </rPh>
    <rPh sb="38" eb="40">
      <t>ヒョウジ</t>
    </rPh>
    <phoneticPr fontId="1"/>
  </si>
  <si>
    <t>氏名</t>
    <rPh sb="0" eb="2">
      <t>シメイ</t>
    </rPh>
    <phoneticPr fontId="1"/>
  </si>
  <si>
    <t>資格</t>
    <rPh sb="0" eb="2">
      <t>シカク</t>
    </rPh>
    <phoneticPr fontId="1"/>
  </si>
  <si>
    <t>実際の手配に合わせ、不要な内容は削除／変更ください。</t>
    <phoneticPr fontId="1"/>
  </si>
  <si>
    <t>※↓元従業員の場合のみ</t>
    <rPh sb="2" eb="3">
      <t>モト</t>
    </rPh>
    <rPh sb="3" eb="6">
      <t>ジュウギョウイン</t>
    </rPh>
    <rPh sb="7" eb="9">
      <t>バアイ</t>
    </rPh>
    <phoneticPr fontId="1"/>
  </si>
  <si>
    <t>退職事由</t>
    <rPh sb="0" eb="2">
      <t>タイショク</t>
    </rPh>
    <rPh sb="2" eb="4">
      <t>ジユウ</t>
    </rPh>
    <phoneticPr fontId="1"/>
  </si>
  <si>
    <t>退職/転籍 年月日</t>
    <phoneticPr fontId="1"/>
  </si>
  <si>
    <t>日</t>
    <rPh sb="0" eb="1">
      <t>ヒ</t>
    </rPh>
    <phoneticPr fontId="1"/>
  </si>
  <si>
    <t>転籍先</t>
    <rPh sb="0" eb="2">
      <t>テンセキ</t>
    </rPh>
    <rPh sb="2" eb="3">
      <t>サキ</t>
    </rPh>
    <phoneticPr fontId="1"/>
  </si>
  <si>
    <t xml:space="preserve"> </t>
    <phoneticPr fontId="1"/>
  </si>
  <si>
    <t>ご逝去者情報</t>
    <rPh sb="3" eb="4">
      <t>シャ</t>
    </rPh>
    <rPh sb="4" eb="6">
      <t>ジョウホウ</t>
    </rPh>
    <phoneticPr fontId="1"/>
  </si>
  <si>
    <t/>
  </si>
  <si>
    <t>申請者との続柄</t>
    <rPh sb="0" eb="2">
      <t>シンセイ</t>
    </rPh>
    <rPh sb="2" eb="3">
      <t>シャ</t>
    </rPh>
    <rPh sb="5" eb="7">
      <t>ゾクガラ</t>
    </rPh>
    <phoneticPr fontId="1"/>
  </si>
  <si>
    <t>香料・供花・弔電の手配が必要な場合は入力してください。</t>
    <rPh sb="0" eb="2">
      <t>コウリョウ</t>
    </rPh>
    <rPh sb="3" eb="5">
      <t>キョウカ</t>
    </rPh>
    <rPh sb="6" eb="8">
      <t>チョウデン</t>
    </rPh>
    <rPh sb="9" eb="11">
      <t>テハイ</t>
    </rPh>
    <rPh sb="12" eb="14">
      <t>ヒツヨウ</t>
    </rPh>
    <rPh sb="15" eb="17">
      <t>バアイ</t>
    </rPh>
    <rPh sb="18" eb="20">
      <t>ニュウリョク</t>
    </rPh>
    <phoneticPr fontId="1"/>
  </si>
  <si>
    <t>※すべての手配不要の場合は入力不要</t>
    <rPh sb="5" eb="7">
      <t>テハイ</t>
    </rPh>
    <rPh sb="7" eb="9">
      <t>フヨウ</t>
    </rPh>
    <rPh sb="10" eb="12">
      <t>バアイ</t>
    </rPh>
    <rPh sb="13" eb="15">
      <t>ニュウリョク</t>
    </rPh>
    <rPh sb="15" eb="17">
      <t>フヨウ</t>
    </rPh>
    <phoneticPr fontId="1"/>
  </si>
  <si>
    <t>ご逝去日時</t>
    <rPh sb="1" eb="3">
      <t>セイキョ</t>
    </rPh>
    <rPh sb="3" eb="5">
      <t>ニチジ</t>
    </rPh>
    <phoneticPr fontId="1"/>
  </si>
  <si>
    <t>（</t>
    <phoneticPr fontId="1"/>
  </si>
  <si>
    <t>）</t>
    <phoneticPr fontId="1"/>
  </si>
  <si>
    <t>：</t>
    <phoneticPr fontId="1"/>
  </si>
  <si>
    <t>頃</t>
    <rPh sb="0" eb="1">
      <t>コロ</t>
    </rPh>
    <phoneticPr fontId="1"/>
  </si>
  <si>
    <t>宗教</t>
    <rPh sb="0" eb="2">
      <t>シュウキョウ</t>
    </rPh>
    <phoneticPr fontId="1"/>
  </si>
  <si>
    <t>通夜・葬儀情報</t>
    <phoneticPr fontId="1"/>
  </si>
  <si>
    <t>通夜</t>
    <rPh sb="0" eb="2">
      <t>ツウヤ</t>
    </rPh>
    <phoneticPr fontId="1"/>
  </si>
  <si>
    <t>日時</t>
    <rPh sb="0" eb="2">
      <t>ニチジ</t>
    </rPh>
    <phoneticPr fontId="1"/>
  </si>
  <si>
    <t>香料</t>
    <rPh sb="0" eb="2">
      <t>コウリョウ</t>
    </rPh>
    <phoneticPr fontId="1"/>
  </si>
  <si>
    <t>その他の場合</t>
    <rPh sb="2" eb="3">
      <t>タ</t>
    </rPh>
    <rPh sb="4" eb="6">
      <t>バアイ</t>
    </rPh>
    <phoneticPr fontId="1"/>
  </si>
  <si>
    <t>〒</t>
    <phoneticPr fontId="1"/>
  </si>
  <si>
    <t>ー</t>
    <phoneticPr fontId="1"/>
  </si>
  <si>
    <t>TEL</t>
    <phoneticPr fontId="1"/>
  </si>
  <si>
    <t>参列</t>
    <phoneticPr fontId="1"/>
  </si>
  <si>
    <t>入力内容は供花依頼シートに反映されます。</t>
    <rPh sb="0" eb="4">
      <t>ニュウリョクナイヨウ</t>
    </rPh>
    <rPh sb="5" eb="7">
      <t>キョウカ</t>
    </rPh>
    <rPh sb="7" eb="9">
      <t>イライ</t>
    </rPh>
    <rPh sb="13" eb="15">
      <t>ハンエイ</t>
    </rPh>
    <phoneticPr fontId="1"/>
  </si>
  <si>
    <t>ﾌﾘｶﾞﾅ</t>
  </si>
  <si>
    <t>辞退/無の理由
（任意）</t>
    <phoneticPr fontId="1"/>
  </si>
  <si>
    <t>住所</t>
    <rPh sb="0" eb="2">
      <t>ジュウショ</t>
    </rPh>
    <phoneticPr fontId="1"/>
  </si>
  <si>
    <t>名称</t>
    <rPh sb="0" eb="2">
      <t>メイショウ</t>
    </rPh>
    <phoneticPr fontId="1"/>
  </si>
  <si>
    <t>　　葬儀</t>
    <rPh sb="2" eb="4">
      <t>ソウギ</t>
    </rPh>
    <phoneticPr fontId="1"/>
  </si>
  <si>
    <t>～</t>
    <phoneticPr fontId="1"/>
  </si>
  <si>
    <t>告別式</t>
    <rPh sb="0" eb="3">
      <t>コクベツシキ</t>
    </rPh>
    <phoneticPr fontId="1"/>
  </si>
  <si>
    <t>参列</t>
    <rPh sb="0" eb="2">
      <t>サンレツ</t>
    </rPh>
    <phoneticPr fontId="1"/>
  </si>
  <si>
    <t xml:space="preserve">ー </t>
    <phoneticPr fontId="1"/>
  </si>
  <si>
    <t>喪主</t>
    <rPh sb="0" eb="1">
      <t>モ</t>
    </rPh>
    <rPh sb="1" eb="2">
      <t>シュ</t>
    </rPh>
    <phoneticPr fontId="1"/>
  </si>
  <si>
    <t>ﾌﾘｶﾞﾅ</t>
    <phoneticPr fontId="1"/>
  </si>
  <si>
    <t>故人から見た喪主の続柄</t>
    <rPh sb="4" eb="5">
      <t>ミ</t>
    </rPh>
    <phoneticPr fontId="1"/>
  </si>
  <si>
    <t>氏　名</t>
    <phoneticPr fontId="1"/>
  </si>
  <si>
    <t>★弔事手配基準表はこちら（下記URLをブラウザの窓にコピペしてください。）</t>
    <rPh sb="1" eb="3">
      <t>チョウジ</t>
    </rPh>
    <rPh sb="3" eb="7">
      <t>テハイキジュン</t>
    </rPh>
    <rPh sb="7" eb="8">
      <t>ヒョウ</t>
    </rPh>
    <rPh sb="13" eb="15">
      <t>カキ</t>
    </rPh>
    <rPh sb="24" eb="25">
      <t>マド</t>
    </rPh>
    <phoneticPr fontId="1"/>
  </si>
  <si>
    <t>喪主/従業員連絡先：区分（従業員・喪主）</t>
    <phoneticPr fontId="1"/>
  </si>
  <si>
    <t>https://toyotajp.sharepoint.com/sites/msspo_QOL_SitePages/Pages/work/keichomimai/choji/tmp/%e5%bc%94%e4%ba%8b_%e5%af%be%e5%bf%9c%e5%9f%ba%e6%ba%96%e4%b8%80%e8%a6%a7.docx</t>
    <phoneticPr fontId="1"/>
  </si>
  <si>
    <t>展開</t>
    <rPh sb="0" eb="2">
      <t>テンカイ</t>
    </rPh>
    <phoneticPr fontId="1"/>
  </si>
  <si>
    <t>弔事情報
展開の希望</t>
    <rPh sb="5" eb="7">
      <t>テンカイ</t>
    </rPh>
    <rPh sb="8" eb="10">
      <t>キボウ</t>
    </rPh>
    <phoneticPr fontId="1"/>
  </si>
  <si>
    <r>
      <t xml:space="preserve">その他連絡事項
</t>
    </r>
    <r>
      <rPr>
        <sz val="6"/>
        <color theme="1"/>
        <rFont val="BIZ UDPゴシック"/>
        <family val="3"/>
        <charset val="128"/>
      </rPr>
      <t>（例：領域/部/室課/Gr・組/など）</t>
    </r>
    <rPh sb="2" eb="3">
      <t>タ</t>
    </rPh>
    <rPh sb="3" eb="5">
      <t>レンラク</t>
    </rPh>
    <rPh sb="5" eb="7">
      <t>ジコウ</t>
    </rPh>
    <rPh sb="9" eb="10">
      <t>レイ</t>
    </rPh>
    <rPh sb="11" eb="13">
      <t>リョウイキ</t>
    </rPh>
    <rPh sb="14" eb="15">
      <t>ブ</t>
    </rPh>
    <rPh sb="16" eb="18">
      <t>シツカ</t>
    </rPh>
    <rPh sb="22" eb="23">
      <t>クミ</t>
    </rPh>
    <phoneticPr fontId="1"/>
  </si>
  <si>
    <t>★展開先は各部の運用に準じます。（特記事項は右欄「その他連絡事項」にご記入ください）</t>
    <phoneticPr fontId="1"/>
  </si>
  <si>
    <t>社内
親族</t>
    <rPh sb="0" eb="2">
      <t>シャナイ</t>
    </rPh>
    <rPh sb="3" eb="5">
      <t>シンゾク</t>
    </rPh>
    <phoneticPr fontId="1"/>
  </si>
  <si>
    <t>社内親族の有無
(一親等以内)</t>
    <rPh sb="0" eb="2">
      <t>シャナイ</t>
    </rPh>
    <rPh sb="2" eb="4">
      <t>シンゾク</t>
    </rPh>
    <rPh sb="5" eb="7">
      <t>ウム</t>
    </rPh>
    <rPh sb="9" eb="14">
      <t>イッシントウイナイ</t>
    </rPh>
    <phoneticPr fontId="1"/>
  </si>
  <si>
    <t>部署名</t>
    <rPh sb="0" eb="2">
      <t>ブショ</t>
    </rPh>
    <rPh sb="2" eb="3">
      <t>メイ</t>
    </rPh>
    <phoneticPr fontId="1"/>
  </si>
  <si>
    <t>職位</t>
    <rPh sb="0" eb="2">
      <t>ショクイ</t>
    </rPh>
    <phoneticPr fontId="1"/>
  </si>
  <si>
    <t>★＜社内親族＞弔事対応の対象者がいる場合、会社対応が重複しないよう、必ず有無を確認ください</t>
    <phoneticPr fontId="1"/>
  </si>
  <si>
    <t>　■各種対応事項</t>
    <phoneticPr fontId="1"/>
  </si>
  <si>
    <t>社内の親族”有(1親等以内)”の時は記入→</t>
    <rPh sb="0" eb="2">
      <t>シャナイ</t>
    </rPh>
    <rPh sb="3" eb="5">
      <t>シンゾク</t>
    </rPh>
    <rPh sb="6" eb="7">
      <t>ア</t>
    </rPh>
    <rPh sb="16" eb="17">
      <t>トキ</t>
    </rPh>
    <rPh sb="18" eb="20">
      <t>キニュウ</t>
    </rPh>
    <phoneticPr fontId="1"/>
  </si>
  <si>
    <t>先方の担当者名</t>
    <rPh sb="0" eb="2">
      <t>センポウ</t>
    </rPh>
    <rPh sb="3" eb="6">
      <t>タントウシャ</t>
    </rPh>
    <rPh sb="6" eb="7">
      <t>メイ</t>
    </rPh>
    <phoneticPr fontId="1"/>
  </si>
  <si>
    <t>連絡先</t>
    <rPh sb="0" eb="2">
      <t>レンラク</t>
    </rPh>
    <rPh sb="2" eb="3">
      <t>サキ</t>
    </rPh>
    <phoneticPr fontId="1"/>
  </si>
  <si>
    <t>対応事項メニュー</t>
    <rPh sb="0" eb="2">
      <t>タイオウ</t>
    </rPh>
    <rPh sb="2" eb="4">
      <t>ジコウ</t>
    </rPh>
    <phoneticPr fontId="1"/>
  </si>
  <si>
    <t>先方手配済みのものにチェック</t>
    <rPh sb="0" eb="2">
      <t>センポウ</t>
    </rPh>
    <rPh sb="2" eb="4">
      <t>テハイ</t>
    </rPh>
    <rPh sb="4" eb="5">
      <t>ズ</t>
    </rPh>
    <phoneticPr fontId="1"/>
  </si>
  <si>
    <t>休日・長期連休中も弔慰金、弔電、供花などの手配は各部でお願いします</t>
    <rPh sb="0" eb="2">
      <t>キュウジツ</t>
    </rPh>
    <rPh sb="3" eb="7">
      <t>チョウキレンキュウ</t>
    </rPh>
    <rPh sb="7" eb="8">
      <t>チュウ</t>
    </rPh>
    <rPh sb="9" eb="12">
      <t>チョウイキン</t>
    </rPh>
    <rPh sb="13" eb="15">
      <t>チョウデン</t>
    </rPh>
    <rPh sb="16" eb="18">
      <t>キョウカ</t>
    </rPh>
    <rPh sb="21" eb="23">
      <t>テハイ</t>
    </rPh>
    <rPh sb="24" eb="26">
      <t>カクブ</t>
    </rPh>
    <rPh sb="28" eb="29">
      <t>ネガ</t>
    </rPh>
    <phoneticPr fontId="1"/>
  </si>
  <si>
    <t>▼各種情報展開（PDF添付メールが立ち上がります）</t>
    <rPh sb="1" eb="3">
      <t>カクシュ</t>
    </rPh>
    <rPh sb="3" eb="5">
      <t>ジョウホウ</t>
    </rPh>
    <rPh sb="5" eb="7">
      <t>テンカイ</t>
    </rPh>
    <rPh sb="11" eb="13">
      <t>テンプ</t>
    </rPh>
    <rPh sb="17" eb="18">
      <t>タ</t>
    </rPh>
    <rPh sb="19" eb="20">
      <t>ア</t>
    </rPh>
    <phoneticPr fontId="1"/>
  </si>
  <si>
    <t>死亡弔慰金</t>
    <rPh sb="0" eb="2">
      <t>シボウ</t>
    </rPh>
    <rPh sb="2" eb="5">
      <t>チョウイキン</t>
    </rPh>
    <phoneticPr fontId="1"/>
  </si>
  <si>
    <t>円</t>
    <rPh sb="0" eb="1">
      <t>エン</t>
    </rPh>
    <phoneticPr fontId="1"/>
  </si>
  <si>
    <t>弔電</t>
    <rPh sb="0" eb="2">
      <t>チョウデン</t>
    </rPh>
    <phoneticPr fontId="1"/>
  </si>
  <si>
    <t>会　長　名</t>
    <rPh sb="0" eb="1">
      <t>カイ</t>
    </rPh>
    <rPh sb="2" eb="3">
      <t>ナガ</t>
    </rPh>
    <rPh sb="4" eb="5">
      <t>メイ</t>
    </rPh>
    <phoneticPr fontId="1"/>
  </si>
  <si>
    <t>供花</t>
    <rPh sb="0" eb="2">
      <t>キョウカ</t>
    </rPh>
    <phoneticPr fontId="1"/>
  </si>
  <si>
    <t>社長名</t>
    <rPh sb="0" eb="3">
      <t>シャチョウメイ</t>
    </rPh>
    <phoneticPr fontId="1"/>
  </si>
  <si>
    <t>宛先：秘書部
対象：基幹職以上の本人弔事、基幹職以上の家族弔事</t>
    <rPh sb="0" eb="2">
      <t>アテサキ</t>
    </rPh>
    <rPh sb="3" eb="5">
      <t>ヒショ</t>
    </rPh>
    <rPh sb="5" eb="6">
      <t>ブ</t>
    </rPh>
    <rPh sb="7" eb="9">
      <t>タイショウ</t>
    </rPh>
    <rPh sb="10" eb="15">
      <t>キカンショクイジョウ</t>
    </rPh>
    <rPh sb="16" eb="20">
      <t>ホンニンチョウジ</t>
    </rPh>
    <rPh sb="21" eb="26">
      <t>キカンショクイジョウ</t>
    </rPh>
    <rPh sb="27" eb="31">
      <t>カゾクチョウジ</t>
    </rPh>
    <phoneticPr fontId="1"/>
  </si>
  <si>
    <t>特別香料★</t>
    <rPh sb="0" eb="2">
      <t>トクベツ</t>
    </rPh>
    <rPh sb="2" eb="4">
      <t>コウリョウ</t>
    </rPh>
    <phoneticPr fontId="1"/>
  </si>
  <si>
    <t>役員一同</t>
    <rPh sb="0" eb="2">
      <t>ヤクイン</t>
    </rPh>
    <rPh sb="2" eb="4">
      <t>イチドウ</t>
    </rPh>
    <phoneticPr fontId="1"/>
  </si>
  <si>
    <t>社　長　名</t>
    <rPh sb="0" eb="1">
      <t>ヤシロ</t>
    </rPh>
    <rPh sb="2" eb="3">
      <t>ナガ</t>
    </rPh>
    <rPh sb="4" eb="5">
      <t>メイ</t>
    </rPh>
    <phoneticPr fontId="1"/>
  </si>
  <si>
    <t>人事本部長</t>
    <rPh sb="0" eb="2">
      <t>ジンジ</t>
    </rPh>
    <rPh sb="2" eb="3">
      <t>ホン</t>
    </rPh>
    <rPh sb="3" eb="5">
      <t>ブチョウ</t>
    </rPh>
    <phoneticPr fontId="1"/>
  </si>
  <si>
    <t>役員一同名</t>
    <rPh sb="0" eb="2">
      <t>ヤクイン</t>
    </rPh>
    <rPh sb="2" eb="4">
      <t>イチドウ</t>
    </rPh>
    <rPh sb="4" eb="5">
      <t>メイ</t>
    </rPh>
    <phoneticPr fontId="1"/>
  </si>
  <si>
    <r>
      <t>役員一同</t>
    </r>
    <r>
      <rPr>
        <sz val="9"/>
        <color theme="1"/>
        <rFont val="BIZ UDPゴシック"/>
        <family val="3"/>
        <charset val="128"/>
      </rPr>
      <t>*業務上・本人死亡時</t>
    </r>
    <rPh sb="0" eb="2">
      <t>ヤクイン</t>
    </rPh>
    <rPh sb="2" eb="4">
      <t>イチドウ</t>
    </rPh>
    <rPh sb="5" eb="8">
      <t>ギョウムジョウ</t>
    </rPh>
    <rPh sb="9" eb="11">
      <t>ホンニン</t>
    </rPh>
    <rPh sb="11" eb="14">
      <t>シボウジ</t>
    </rPh>
    <phoneticPr fontId="1"/>
  </si>
  <si>
    <t>担当本部長/工場長</t>
    <rPh sb="0" eb="2">
      <t>タントウ</t>
    </rPh>
    <rPh sb="2" eb="5">
      <t>ホンブチョウ</t>
    </rPh>
    <rPh sb="6" eb="9">
      <t>コウジョウチョウ</t>
    </rPh>
    <phoneticPr fontId="1"/>
  </si>
  <si>
    <t>熊倉　和生</t>
    <rPh sb="0" eb="2">
      <t>クマクラ</t>
    </rPh>
    <rPh sb="3" eb="4">
      <t>ワ</t>
    </rPh>
    <rPh sb="4" eb="5">
      <t>イ</t>
    </rPh>
    <phoneticPr fontId="1"/>
  </si>
  <si>
    <t>人事本部長名</t>
    <rPh sb="0" eb="2">
      <t>ジンジ</t>
    </rPh>
    <rPh sb="2" eb="5">
      <t>ホンブチョウ</t>
    </rPh>
    <rPh sb="5" eb="6">
      <t>メイ</t>
    </rPh>
    <phoneticPr fontId="1"/>
  </si>
  <si>
    <t>部　長　名</t>
    <rPh sb="0" eb="1">
      <t>ブ</t>
    </rPh>
    <rPh sb="2" eb="3">
      <t>ナガ</t>
    </rPh>
    <rPh sb="4" eb="5">
      <t>メイ</t>
    </rPh>
    <phoneticPr fontId="1"/>
  </si>
  <si>
    <t>担当本部長/工場長名</t>
    <rPh sb="0" eb="2">
      <t>タントウ</t>
    </rPh>
    <rPh sb="2" eb="5">
      <t>ホンブチョウ</t>
    </rPh>
    <rPh sb="6" eb="9">
      <t>コウジョウチョウ</t>
    </rPh>
    <rPh sb="9" eb="10">
      <t>メイ</t>
    </rPh>
    <phoneticPr fontId="1"/>
  </si>
  <si>
    <t>手配無</t>
    <rPh sb="0" eb="2">
      <t>テハイ</t>
    </rPh>
    <rPh sb="2" eb="3">
      <t>ナシ</t>
    </rPh>
    <phoneticPr fontId="1"/>
  </si>
  <si>
    <t>宛先:TPSC
対象：本人弔事</t>
    <rPh sb="0" eb="2">
      <t>アテサキ</t>
    </rPh>
    <rPh sb="8" eb="10">
      <t>タイショウ</t>
    </rPh>
    <rPh sb="11" eb="15">
      <t>ホンニンチョウジ</t>
    </rPh>
    <phoneticPr fontId="1"/>
  </si>
  <si>
    <t>室・次長名</t>
    <rPh sb="0" eb="1">
      <t>シツ</t>
    </rPh>
    <rPh sb="2" eb="4">
      <t>ジチョウ</t>
    </rPh>
    <rPh sb="4" eb="5">
      <t>メイ</t>
    </rPh>
    <phoneticPr fontId="1"/>
  </si>
  <si>
    <t>職場上司名</t>
    <rPh sb="0" eb="1">
      <t>ショク</t>
    </rPh>
    <rPh sb="1" eb="2">
      <t>バ</t>
    </rPh>
    <rPh sb="2" eb="4">
      <t>ジョウシ</t>
    </rPh>
    <rPh sb="4" eb="5">
      <t>メイ</t>
    </rPh>
    <phoneticPr fontId="1"/>
  </si>
  <si>
    <t>課長/GM名</t>
    <rPh sb="0" eb="2">
      <t>カチョウ</t>
    </rPh>
    <rPh sb="5" eb="6">
      <t>メイ</t>
    </rPh>
    <phoneticPr fontId="1"/>
  </si>
  <si>
    <r>
      <t xml:space="preserve">所属職制連名
</t>
    </r>
    <r>
      <rPr>
        <sz val="9"/>
        <color theme="1"/>
        <rFont val="BIZ UDPゴシック"/>
        <family val="3"/>
        <charset val="128"/>
      </rPr>
      <t>※</t>
    </r>
    <r>
      <rPr>
        <sz val="6"/>
        <color theme="1"/>
        <rFont val="BIZ UDPゴシック"/>
        <family val="3"/>
        <charset val="128"/>
      </rPr>
      <t>直属上司、３名まで</t>
    </r>
    <phoneticPr fontId="1"/>
  </si>
  <si>
    <t>枕花</t>
    <rPh sb="0" eb="1">
      <t>マクラ</t>
    </rPh>
    <rPh sb="1" eb="2">
      <t>バナ</t>
    </rPh>
    <phoneticPr fontId="1"/>
  </si>
  <si>
    <t>人事本部長・担当本部長名</t>
    <rPh sb="0" eb="2">
      <t>ジンジ</t>
    </rPh>
    <rPh sb="2" eb="5">
      <t>ホンブチョウ</t>
    </rPh>
    <rPh sb="8" eb="9">
      <t>ホン</t>
    </rPh>
    <rPh sb="9" eb="11">
      <t>ブチョウ</t>
    </rPh>
    <phoneticPr fontId="1"/>
  </si>
  <si>
    <t>課長工長連名</t>
    <rPh sb="0" eb="2">
      <t>カチョウ</t>
    </rPh>
    <rPh sb="2" eb="4">
      <t>コウチョウ</t>
    </rPh>
    <rPh sb="4" eb="6">
      <t>レンメイ</t>
    </rPh>
    <phoneticPr fontId="1"/>
  </si>
  <si>
    <t>供物</t>
    <rPh sb="0" eb="2">
      <t>クモツ</t>
    </rPh>
    <phoneticPr fontId="1"/>
  </si>
  <si>
    <t>担当本部長名</t>
    <rPh sb="0" eb="2">
      <t>タントウ</t>
    </rPh>
    <rPh sb="2" eb="5">
      <t>ホンブチョウ</t>
    </rPh>
    <rPh sb="5" eb="6">
      <t>メイ</t>
    </rPh>
    <phoneticPr fontId="1"/>
  </si>
  <si>
    <t>宛先:各自設定（部内や社内団体へ展開の際にご利用ください）
　→設定は「メール」シートへ</t>
    <rPh sb="0" eb="2">
      <t>アテサキ</t>
    </rPh>
    <rPh sb="3" eb="5">
      <t>カクジ</t>
    </rPh>
    <rPh sb="5" eb="7">
      <t>セッテイ</t>
    </rPh>
    <rPh sb="8" eb="10">
      <t>ブナイ</t>
    </rPh>
    <rPh sb="11" eb="15">
      <t>シャナイダンタイ</t>
    </rPh>
    <rPh sb="16" eb="18">
      <t>テンカイ</t>
    </rPh>
    <rPh sb="19" eb="20">
      <t>サイ</t>
    </rPh>
    <rPh sb="22" eb="24">
      <t>リヨウ</t>
    </rPh>
    <rPh sb="32" eb="34">
      <t>セッテイ</t>
    </rPh>
    <phoneticPr fontId="1"/>
  </si>
  <si>
    <t>合計</t>
    <rPh sb="0" eb="2">
      <t>ゴウケイ</t>
    </rPh>
    <phoneticPr fontId="1"/>
  </si>
  <si>
    <t>★組織上のポスト長以外対応不可　氏名（ﾌﾙﾈｰﾑ）を必ず記入</t>
    <phoneticPr fontId="1"/>
  </si>
  <si>
    <t>弔慰金･香料立替
が発生した場合</t>
    <rPh sb="4" eb="6">
      <t>コウリョウ</t>
    </rPh>
    <phoneticPr fontId="1"/>
  </si>
  <si>
    <t>立替者氏名</t>
    <rPh sb="0" eb="2">
      <t>タテカエ</t>
    </rPh>
    <rPh sb="2" eb="3">
      <t>シャ</t>
    </rPh>
    <rPh sb="3" eb="5">
      <t>シメイ</t>
    </rPh>
    <phoneticPr fontId="1"/>
  </si>
  <si>
    <t>▼手配帳票リンク</t>
    <rPh sb="1" eb="3">
      <t>テハイ</t>
    </rPh>
    <rPh sb="3" eb="5">
      <t>チョウヒョウ</t>
    </rPh>
    <phoneticPr fontId="1"/>
  </si>
  <si>
    <t>2023年1月11日～　FAXでの手配はできません</t>
    <rPh sb="4" eb="5">
      <t>ネン</t>
    </rPh>
    <rPh sb="6" eb="7">
      <t>ガツ</t>
    </rPh>
    <rPh sb="9" eb="10">
      <t>ニチ</t>
    </rPh>
    <rPh sb="17" eb="19">
      <t>テハイ</t>
    </rPh>
    <phoneticPr fontId="1"/>
  </si>
  <si>
    <t>■最終チェック</t>
    <rPh sb="1" eb="3">
      <t>サイシュウ</t>
    </rPh>
    <phoneticPr fontId="1"/>
  </si>
  <si>
    <t>元)</t>
    <rPh sb="0" eb="1">
      <t>モト</t>
    </rPh>
    <phoneticPr fontId="1"/>
  </si>
  <si>
    <t>現)</t>
    <rPh sb="0" eb="1">
      <t>ゲン</t>
    </rPh>
    <phoneticPr fontId="1"/>
  </si>
  <si>
    <t>※</t>
  </si>
  <si>
    <t>元)：定年・転籍後の従業員　　現)：それ以外</t>
    <rPh sb="0" eb="1">
      <t>モト</t>
    </rPh>
    <rPh sb="3" eb="5">
      <t>テイネン</t>
    </rPh>
    <rPh sb="6" eb="8">
      <t>テンセキ</t>
    </rPh>
    <rPh sb="8" eb="9">
      <t>ゴ</t>
    </rPh>
    <rPh sb="10" eb="13">
      <t>ジュウギョウイン</t>
    </rPh>
    <rPh sb="15" eb="16">
      <t>ゲン</t>
    </rPh>
    <rPh sb="20" eb="22">
      <t>イガイ</t>
    </rPh>
    <phoneticPr fontId="1"/>
  </si>
  <si>
    <t>担当者情報</t>
    <rPh sb="0" eb="3">
      <t>タントウシャ</t>
    </rPh>
    <rPh sb="3" eb="5">
      <t>ジョウホウ</t>
    </rPh>
    <phoneticPr fontId="1"/>
  </si>
  <si>
    <t>各種手配（現金・弔電・供花・枕花・供物）</t>
    <phoneticPr fontId="1"/>
  </si>
  <si>
    <t>社内団体地区幹事連絡（部長会・幹の会・三層会など）</t>
    <phoneticPr fontId="1"/>
  </si>
  <si>
    <t>-</t>
  </si>
  <si>
    <t>労働組合職場役員（職場委員長又は評議員）へ連絡(組合員のみ)</t>
    <rPh sb="0" eb="2">
      <t>ロウドウ</t>
    </rPh>
    <rPh sb="2" eb="4">
      <t>クミアイ</t>
    </rPh>
    <rPh sb="4" eb="5">
      <t>ショク</t>
    </rPh>
    <rPh sb="5" eb="6">
      <t>バ</t>
    </rPh>
    <rPh sb="6" eb="8">
      <t>ヤクイン</t>
    </rPh>
    <rPh sb="9" eb="10">
      <t>ショク</t>
    </rPh>
    <rPh sb="10" eb="11">
      <t>バ</t>
    </rPh>
    <rPh sb="11" eb="14">
      <t>イインチョウ</t>
    </rPh>
    <rPh sb="14" eb="15">
      <t>マタ</t>
    </rPh>
    <rPh sb="16" eb="19">
      <t>ヒョウギイン</t>
    </rPh>
    <rPh sb="21" eb="23">
      <t>レンラク</t>
    </rPh>
    <rPh sb="24" eb="27">
      <t>クミアイイン</t>
    </rPh>
    <phoneticPr fontId="1"/>
  </si>
  <si>
    <t>非稼働日の各種対応</t>
    <rPh sb="0" eb="4">
      <t>ヒカドウヒ</t>
    </rPh>
    <rPh sb="5" eb="7">
      <t>カクシュ</t>
    </rPh>
    <rPh sb="7" eb="9">
      <t>タイオウ</t>
    </rPh>
    <phoneticPr fontId="1"/>
  </si>
  <si>
    <t>内線番号</t>
    <rPh sb="0" eb="2">
      <t>ナイセン</t>
    </rPh>
    <rPh sb="2" eb="4">
      <t>バンゴウ</t>
    </rPh>
    <phoneticPr fontId="1"/>
  </si>
  <si>
    <r>
      <t>▼各種印刷設定</t>
    </r>
    <r>
      <rPr>
        <sz val="10"/>
        <color rgb="FFFF0000"/>
        <rFont val="BIZ UDPゴシック"/>
        <family val="3"/>
        <charset val="128"/>
      </rPr>
      <t>（上記マクロボタンを使用すると印刷範囲が変動します。印刷する際にご利用ください）</t>
    </r>
    <rPh sb="1" eb="3">
      <t>カクシュ</t>
    </rPh>
    <rPh sb="3" eb="5">
      <t>インサツ</t>
    </rPh>
    <rPh sb="5" eb="7">
      <t>セッテイ</t>
    </rPh>
    <rPh sb="8" eb="10">
      <t>ジョウキ</t>
    </rPh>
    <rPh sb="17" eb="19">
      <t>シヨウ</t>
    </rPh>
    <rPh sb="22" eb="24">
      <t>インサツ</t>
    </rPh>
    <rPh sb="24" eb="26">
      <t>ハンイ</t>
    </rPh>
    <rPh sb="27" eb="29">
      <t>ヘンドウ</t>
    </rPh>
    <rPh sb="33" eb="35">
      <t>インサツ</t>
    </rPh>
    <rPh sb="37" eb="38">
      <t>サイ</t>
    </rPh>
    <rPh sb="40" eb="42">
      <t>リヨウ</t>
    </rPh>
    <phoneticPr fontId="1"/>
  </si>
  <si>
    <t>トヨタパーソナルサポート(株)人事厚生部へメール(本人弔事)</t>
    <rPh sb="13" eb="14">
      <t>カブ</t>
    </rPh>
    <rPh sb="15" eb="17">
      <t>ジンジ</t>
    </rPh>
    <rPh sb="17" eb="20">
      <t>コウセイブ</t>
    </rPh>
    <rPh sb="25" eb="27">
      <t>ホンニン</t>
    </rPh>
    <rPh sb="27" eb="29">
      <t>チョウジ</t>
    </rPh>
    <phoneticPr fontId="1"/>
  </si>
  <si>
    <t>「■最終チェック」までの情報を印刷します。</t>
    <rPh sb="2" eb="4">
      <t>サイシュウ</t>
    </rPh>
    <rPh sb="12" eb="14">
      <t>ジョウホウ</t>
    </rPh>
    <rPh sb="15" eb="17">
      <t>インサツ</t>
    </rPh>
    <phoneticPr fontId="1"/>
  </si>
  <si>
    <t>秘書部へメール(基幹職以上の本人、家族弔事）</t>
    <rPh sb="0" eb="2">
      <t>ヒショ</t>
    </rPh>
    <rPh sb="2" eb="3">
      <t>ブ</t>
    </rPh>
    <rPh sb="8" eb="10">
      <t>キカン</t>
    </rPh>
    <rPh sb="10" eb="11">
      <t>ショク</t>
    </rPh>
    <rPh sb="11" eb="13">
      <t>イジョウ</t>
    </rPh>
    <rPh sb="14" eb="16">
      <t>ホンニン</t>
    </rPh>
    <rPh sb="17" eb="19">
      <t>カゾク</t>
    </rPh>
    <rPh sb="19" eb="21">
      <t>チョウジ</t>
    </rPh>
    <phoneticPr fontId="1"/>
  </si>
  <si>
    <t>外線番号</t>
    <rPh sb="0" eb="2">
      <t>ガイセン</t>
    </rPh>
    <rPh sb="2" eb="4">
      <t>バンゴウ</t>
    </rPh>
    <phoneticPr fontId="1"/>
  </si>
  <si>
    <t>ﾄﾖﾀ社友会事務局へ連絡(幹部職以上（定年・転籍）の本人弔事のみ)【内線 811-3-1631】</t>
    <rPh sb="3" eb="4">
      <t>シャ</t>
    </rPh>
    <rPh sb="4" eb="5">
      <t>トモ</t>
    </rPh>
    <rPh sb="5" eb="6">
      <t>カイ</t>
    </rPh>
    <rPh sb="6" eb="9">
      <t>ジムキョク</t>
    </rPh>
    <rPh sb="10" eb="12">
      <t>レンラク</t>
    </rPh>
    <rPh sb="13" eb="15">
      <t>カンブ</t>
    </rPh>
    <rPh sb="15" eb="16">
      <t>ショク</t>
    </rPh>
    <rPh sb="16" eb="18">
      <t>イジョウ</t>
    </rPh>
    <rPh sb="19" eb="21">
      <t>テイネン</t>
    </rPh>
    <rPh sb="22" eb="24">
      <t>テンセキ</t>
    </rPh>
    <rPh sb="26" eb="28">
      <t>ホンニン</t>
    </rPh>
    <rPh sb="28" eb="30">
      <t>チョウジ</t>
    </rPh>
    <rPh sb="34" eb="36">
      <t>ナイセン</t>
    </rPh>
    <phoneticPr fontId="1"/>
  </si>
  <si>
    <t>■参考： 主な社内団体の弔事手配方法</t>
    <phoneticPr fontId="1"/>
  </si>
  <si>
    <t>部長会</t>
    <rPh sb="0" eb="2">
      <t>ブチョウ</t>
    </rPh>
    <rPh sb="2" eb="3">
      <t>カイ</t>
    </rPh>
    <phoneticPr fontId="1"/>
  </si>
  <si>
    <t>■部長会ホームページを確認して手配をお願いします。</t>
    <rPh sb="1" eb="3">
      <t>ブチョウ</t>
    </rPh>
    <rPh sb="3" eb="4">
      <t>カイ</t>
    </rPh>
    <rPh sb="11" eb="13">
      <t>カクニン</t>
    </rPh>
    <rPh sb="15" eb="17">
      <t>テハイ</t>
    </rPh>
    <rPh sb="19" eb="20">
      <t>ネガ</t>
    </rPh>
    <phoneticPr fontId="1"/>
  </si>
  <si>
    <t>「■お通夜・葬儀情報」までの情報を印刷します。
　部内展開用メールに添付されるPDFと同じです。</t>
    <rPh sb="14" eb="16">
      <t>ジョウホウ</t>
    </rPh>
    <rPh sb="17" eb="19">
      <t>インサツ</t>
    </rPh>
    <rPh sb="25" eb="27">
      <t>ブナイ</t>
    </rPh>
    <rPh sb="27" eb="30">
      <t>テンカイヨウ</t>
    </rPh>
    <rPh sb="34" eb="36">
      <t>テンプ</t>
    </rPh>
    <rPh sb="43" eb="44">
      <t>オナ</t>
    </rPh>
    <phoneticPr fontId="1"/>
  </si>
  <si>
    <t>※T-waveトップページ→My Menu→Main Link→社内団体･教養部･同好会→部長会</t>
    <rPh sb="32" eb="36">
      <t>シャナイダンタイ</t>
    </rPh>
    <rPh sb="37" eb="40">
      <t>キョウヨウブ</t>
    </rPh>
    <rPh sb="41" eb="44">
      <t>ドウコウカイ</t>
    </rPh>
    <rPh sb="45" eb="48">
      <t>ブチョウカイ</t>
    </rPh>
    <phoneticPr fontId="1"/>
  </si>
  <si>
    <t>https://toyotajp.sharepoint.com/sites/msspo_cs_jinji_Top/SitePages/HumanRelations_TOP.aspx</t>
    <phoneticPr fontId="1"/>
  </si>
  <si>
    <t>幹の会</t>
    <rPh sb="0" eb="1">
      <t>ミキ</t>
    </rPh>
    <rPh sb="2" eb="3">
      <t>カイ</t>
    </rPh>
    <phoneticPr fontId="1"/>
  </si>
  <si>
    <t>■トヨタパーソナルサポート（株）幹の会慶弔窓口が対応します。</t>
    <phoneticPr fontId="1"/>
  </si>
  <si>
    <t xml:space="preserve">　　[Mail] </t>
  </si>
  <si>
    <t>ag-mikinokai@mail.toyota.co.jp</t>
    <phoneticPr fontId="1"/>
  </si>
  <si>
    <t>　[TEL]</t>
  </si>
  <si>
    <t>0565-23-1932</t>
  </si>
  <si>
    <t>▽弔事報告書を添付しメールでご連絡ください。</t>
  </si>
  <si>
    <t>　 上位決裁前でも、弔事手配に必要な情報が揃い次第、連絡をお願いします。</t>
  </si>
  <si>
    <t>　 弔事報告書は、Excelで送信してください。</t>
    <rPh sb="15" eb="17">
      <t>ソウシン</t>
    </rPh>
    <phoneticPr fontId="1"/>
  </si>
  <si>
    <t>▽メール送付後、電話でも連絡してください（必ずメール＋電話双方で連絡）</t>
    <phoneticPr fontId="1"/>
  </si>
  <si>
    <t>▽2023年8月より、辞退や事後連絡などで幹の会の弔事対応が不要の場合は、弔事報告書の送付は不要となりました。</t>
    <rPh sb="46" eb="48">
      <t>フヨウ</t>
    </rPh>
    <phoneticPr fontId="1"/>
  </si>
  <si>
    <t>　 ご本人弔事の場合は、必ず連絡をお願いします。</t>
    <rPh sb="3" eb="5">
      <t>ホンニン</t>
    </rPh>
    <rPh sb="5" eb="7">
      <t>チョウジ</t>
    </rPh>
    <rPh sb="8" eb="10">
      <t>バアイ</t>
    </rPh>
    <rPh sb="12" eb="13">
      <t>カナラ</t>
    </rPh>
    <rPh sb="14" eb="16">
      <t>レンラク</t>
    </rPh>
    <rPh sb="18" eb="19">
      <t>ネガ</t>
    </rPh>
    <phoneticPr fontId="1"/>
  </si>
  <si>
    <t>【送付時の注意】</t>
  </si>
  <si>
    <t>１．本社カレンダーにおける非稼働日は、手配の受付が出来ません。</t>
  </si>
  <si>
    <t>■会員ご自身や職場の関係者、総括担当者等にて、</t>
  </si>
  <si>
    <t>　 幹の会ホームページ（※）の手配方法を参照し、対応をお願いします。</t>
  </si>
  <si>
    <t>※T-waveトップページ→My Menu→Main Link→社内団体･教養部･同好会→幹の会</t>
    <rPh sb="32" eb="34">
      <t>シャナイ</t>
    </rPh>
    <rPh sb="34" eb="36">
      <t>ダンタイ</t>
    </rPh>
    <rPh sb="37" eb="39">
      <t>キョウヨウ</t>
    </rPh>
    <rPh sb="39" eb="40">
      <t>ブ</t>
    </rPh>
    <rPh sb="41" eb="44">
      <t>ドウコウカイ</t>
    </rPh>
    <rPh sb="45" eb="46">
      <t>ミキ</t>
    </rPh>
    <rPh sb="47" eb="48">
      <t>カイ</t>
    </rPh>
    <phoneticPr fontId="1"/>
  </si>
  <si>
    <t>https://toyotajp.sharepoint.com/sites/msspo_Miki_Top</t>
    <phoneticPr fontId="1"/>
  </si>
  <si>
    <t>２．幹の会の会員は、以下①②③全てを満たす方です。</t>
  </si>
  <si>
    <t>①基幹職　　②TMC社員 （受入出向者やICT、定年後再雇用者[PP等]は除く）</t>
  </si>
  <si>
    <t>③愛知県内・岐阜県内・東京地区の勤務者 もしくは 国内・海外出向者</t>
    <rPh sb="3" eb="5">
      <t>ケンナイ</t>
    </rPh>
    <rPh sb="11" eb="13">
      <t>トウキョウ</t>
    </rPh>
    <rPh sb="13" eb="15">
      <t>チク</t>
    </rPh>
    <phoneticPr fontId="1"/>
  </si>
  <si>
    <t>三層会</t>
    <rPh sb="0" eb="3">
      <t>サンソウカイ</t>
    </rPh>
    <phoneticPr fontId="1"/>
  </si>
  <si>
    <t>■それぞれの支部・職場会の役員にご連絡ください。</t>
    <rPh sb="6" eb="8">
      <t>シブ</t>
    </rPh>
    <rPh sb="9" eb="11">
      <t>ショクバ</t>
    </rPh>
    <rPh sb="11" eb="12">
      <t>カイ</t>
    </rPh>
    <rPh sb="13" eb="15">
      <t>ヤクイン</t>
    </rPh>
    <rPh sb="17" eb="19">
      <t>レンラク</t>
    </rPh>
    <phoneticPr fontId="1"/>
  </si>
  <si>
    <t>（手配先）</t>
    <rPh sb="1" eb="3">
      <t>テハイ</t>
    </rPh>
    <rPh sb="3" eb="4">
      <t>サキ</t>
    </rPh>
    <phoneticPr fontId="1"/>
  </si>
  <si>
    <t>送信日：</t>
    <rPh sb="0" eb="3">
      <t>ソウシンビ</t>
    </rPh>
    <phoneticPr fontId="1"/>
  </si>
  <si>
    <t>月</t>
    <rPh sb="0" eb="1">
      <t>ゲツ</t>
    </rPh>
    <phoneticPr fontId="1"/>
  </si>
  <si>
    <t>供花手配依頼書</t>
    <rPh sb="0" eb="2">
      <t>キョウカ</t>
    </rPh>
    <rPh sb="2" eb="4">
      <t>テハイ</t>
    </rPh>
    <rPh sb="4" eb="7">
      <t>イライショ</t>
    </rPh>
    <phoneticPr fontId="1"/>
  </si>
  <si>
    <t>手配先_プルダウンリスト（必要に応じて変更)</t>
    <rPh sb="0" eb="2">
      <t>テハイ</t>
    </rPh>
    <rPh sb="2" eb="3">
      <t>サキ</t>
    </rPh>
    <rPh sb="13" eb="15">
      <t>ヒツヨウ</t>
    </rPh>
    <rPh sb="16" eb="17">
      <t>オウ</t>
    </rPh>
    <rPh sb="19" eb="21">
      <t>ヘンコウ</t>
    </rPh>
    <phoneticPr fontId="1"/>
  </si>
  <si>
    <t>メグリアセレモニーホール　御中</t>
    <phoneticPr fontId="1"/>
  </si>
  <si>
    <t>Fax:0565-24-3666　Tel:0565-24-3655　Mail:memoriaru@meglia.or.jp</t>
    <phoneticPr fontId="1"/>
  </si>
  <si>
    <r>
      <t>↑このエクセルをデスクトップなど任意の場所に保存の上、上記ボタンを押してください。</t>
    </r>
    <r>
      <rPr>
        <sz val="8"/>
        <color theme="1" tint="0.499984740745262"/>
        <rFont val="BIZ UDPゴシック"/>
        <family val="3"/>
        <charset val="128"/>
      </rPr>
      <t>(PDFは同じ場所に保存されます)</t>
    </r>
    <rPh sb="27" eb="28">
      <t>ウエ</t>
    </rPh>
    <phoneticPr fontId="1"/>
  </si>
  <si>
    <t>花桂　御中</t>
    <rPh sb="0" eb="1">
      <t>ハナ</t>
    </rPh>
    <rPh sb="1" eb="2">
      <t>カツラ</t>
    </rPh>
    <rPh sb="3" eb="5">
      <t>オンチュウ</t>
    </rPh>
    <phoneticPr fontId="1"/>
  </si>
  <si>
    <t>Tel/Fax:0565-33-2611</t>
    <phoneticPr fontId="1"/>
  </si>
  <si>
    <t xml:space="preserve"> ▼供花</t>
  </si>
  <si>
    <t>名札名</t>
  </si>
  <si>
    <t>トヨタ自動車株式会社</t>
  </si>
  <si>
    <t>高上総本店　御中</t>
    <rPh sb="0" eb="1">
      <t>タカ</t>
    </rPh>
    <rPh sb="1" eb="2">
      <t>ウエ</t>
    </rPh>
    <rPh sb="2" eb="5">
      <t>ソウホンテン</t>
    </rPh>
    <rPh sb="6" eb="8">
      <t>オンチュウ</t>
    </rPh>
    <phoneticPr fontId="1"/>
  </si>
  <si>
    <t>Tel/Fax:0565-80-2221</t>
    <phoneticPr fontId="1"/>
  </si>
  <si>
    <t>取締役社長　佐藤　恒治</t>
    <rPh sb="0" eb="3">
      <t>トリシマリヤク</t>
    </rPh>
    <rPh sb="3" eb="5">
      <t>シャチョウ</t>
    </rPh>
    <rPh sb="6" eb="8">
      <t>サトウ</t>
    </rPh>
    <rPh sb="9" eb="11">
      <t>ツネジ</t>
    </rPh>
    <phoneticPr fontId="31"/>
  </si>
  <si>
    <t>(豊田)イズモ葬祭センター　御中</t>
    <rPh sb="1" eb="3">
      <t>トヨタ</t>
    </rPh>
    <rPh sb="7" eb="9">
      <t>ソウサイ</t>
    </rPh>
    <phoneticPr fontId="1"/>
  </si>
  <si>
    <t>Fax:0565-34-0013　Tel:0565-34-0661</t>
    <phoneticPr fontId="1"/>
  </si>
  <si>
    <t>(岡崎)イズモ葬祭センター　御中</t>
    <rPh sb="1" eb="3">
      <t>オカザキ</t>
    </rPh>
    <rPh sb="7" eb="9">
      <t>ソウサイ</t>
    </rPh>
    <phoneticPr fontId="1"/>
  </si>
  <si>
    <t>Fax:0564-53-0215　Tel:0564-51-7080</t>
    <phoneticPr fontId="1"/>
  </si>
  <si>
    <t>金額</t>
  </si>
  <si>
    <t>十方舎　御中</t>
    <rPh sb="0" eb="1">
      <t>ジュウ</t>
    </rPh>
    <rPh sb="1" eb="2">
      <t>カタ</t>
    </rPh>
    <rPh sb="2" eb="3">
      <t>シャ</t>
    </rPh>
    <rPh sb="4" eb="6">
      <t>オンチュウ</t>
    </rPh>
    <phoneticPr fontId="1"/>
  </si>
  <si>
    <t>Tel/Fax:0531-22-0054</t>
    <phoneticPr fontId="1"/>
  </si>
  <si>
    <t>アシステイト　御中</t>
    <rPh sb="7" eb="9">
      <t>オンチュウ</t>
    </rPh>
    <phoneticPr fontId="1"/>
  </si>
  <si>
    <t>Fax:03-3357-0087　Tel:03-3357-1187</t>
    <phoneticPr fontId="1"/>
  </si>
  <si>
    <t>生花乃渡辺　御中</t>
    <rPh sb="0" eb="1">
      <t>ナマ</t>
    </rPh>
    <rPh sb="1" eb="2">
      <t>ハナ</t>
    </rPh>
    <rPh sb="2" eb="3">
      <t>ノ</t>
    </rPh>
    <rPh sb="3" eb="5">
      <t>ワタナベ</t>
    </rPh>
    <rPh sb="6" eb="8">
      <t>オンチュウ</t>
    </rPh>
    <phoneticPr fontId="1"/>
  </si>
  <si>
    <t>Fax:052-881-4126　Tel:052-881-8745</t>
    <phoneticPr fontId="1"/>
  </si>
  <si>
    <t>▼通夜</t>
  </si>
  <si>
    <t>はしもとフラワー　御中</t>
    <rPh sb="9" eb="11">
      <t>オンチュウ</t>
    </rPh>
    <phoneticPr fontId="1"/>
  </si>
  <si>
    <t>Tel/Fax:0550-82-0056</t>
    <phoneticPr fontId="1"/>
  </si>
  <si>
    <t>　日時</t>
  </si>
  <si>
    <t>月</t>
    <rPh sb="0" eb="1">
      <t>ガツ</t>
    </rPh>
    <phoneticPr fontId="1"/>
  </si>
  <si>
    <t>さんかえん　御中</t>
    <rPh sb="6" eb="8">
      <t>オンチュウ</t>
    </rPh>
    <phoneticPr fontId="1"/>
  </si>
  <si>
    <t>Fax:055-992-2224　Tel:055-993-3800</t>
    <phoneticPr fontId="1"/>
  </si>
  <si>
    <t>　場所</t>
  </si>
  <si>
    <t>メグリアセレモニーHP</t>
    <phoneticPr fontId="1"/>
  </si>
  <si>
    <t>https://www.megliasougi.jp/</t>
    <phoneticPr fontId="1"/>
  </si>
  <si>
    <t>イズモ葬祭センターHP</t>
    <rPh sb="3" eb="5">
      <t>ソウサイ</t>
    </rPh>
    <phoneticPr fontId="1"/>
  </si>
  <si>
    <t>https://www.izumososai.jp/</t>
    <phoneticPr fontId="1"/>
  </si>
  <si>
    <t>花桂（e-mai）　　</t>
    <rPh sb="0" eb="1">
      <t>ハナ</t>
    </rPh>
    <rPh sb="1" eb="2">
      <t>カツラ</t>
    </rPh>
    <phoneticPr fontId="1"/>
  </si>
  <si>
    <t xml:space="preserve">hanakei@lion.ocn.ne.jp </t>
    <phoneticPr fontId="1"/>
  </si>
  <si>
    <t>　電話</t>
  </si>
  <si>
    <t>―</t>
    <phoneticPr fontId="1"/>
  </si>
  <si>
    <t>アシステイト（e-mail）</t>
    <phoneticPr fontId="1"/>
  </si>
  <si>
    <t>assis@teitotenrei.co.jp</t>
    <phoneticPr fontId="1"/>
  </si>
  <si>
    <t>生花乃渡辺（e-mail)</t>
    <rPh sb="0" eb="2">
      <t>イケバナ</t>
    </rPh>
    <rPh sb="2" eb="3">
      <t>ノ</t>
    </rPh>
    <rPh sb="3" eb="5">
      <t>ワタナベ</t>
    </rPh>
    <phoneticPr fontId="1"/>
  </si>
  <si>
    <t>ikwatanabe@orion.ocn.ne.jp</t>
    <phoneticPr fontId="1"/>
  </si>
  <si>
    <t>▼葬儀</t>
  </si>
  <si>
    <t>はしもとフラワー（e-maiｌ）</t>
    <phoneticPr fontId="1"/>
  </si>
  <si>
    <t>info@hashimoto-flower.com</t>
    <phoneticPr fontId="1"/>
  </si>
  <si>
    <t>　喪主</t>
    <rPh sb="1" eb="3">
      <t>モシュ</t>
    </rPh>
    <phoneticPr fontId="31"/>
  </si>
  <si>
    <t>様</t>
    <rPh sb="0" eb="1">
      <t>サマ</t>
    </rPh>
    <phoneticPr fontId="1"/>
  </si>
  <si>
    <t>故人</t>
    <rPh sb="0" eb="2">
      <t>コジン</t>
    </rPh>
    <phoneticPr fontId="1"/>
  </si>
  <si>
    <t>故人と喪主の続柄</t>
    <rPh sb="0" eb="2">
      <t>コジン</t>
    </rPh>
    <rPh sb="3" eb="5">
      <t>モシュ</t>
    </rPh>
    <rPh sb="6" eb="8">
      <t>ツヅキガラ</t>
    </rPh>
    <phoneticPr fontId="1"/>
  </si>
  <si>
    <t>　宗教</t>
    <rPh sb="1" eb="3">
      <t>シュウキョウ</t>
    </rPh>
    <phoneticPr fontId="31"/>
  </si>
  <si>
    <t>▼担当</t>
    <rPh sb="1" eb="3">
      <t>タントウ</t>
    </rPh>
    <phoneticPr fontId="1"/>
  </si>
  <si>
    <t>ロケ：</t>
    <rPh sb="2" eb="3">
      <t>ショメイ</t>
    </rPh>
    <phoneticPr fontId="1"/>
  </si>
  <si>
    <t>建屋：</t>
    <rPh sb="0" eb="2">
      <t>タテヤ</t>
    </rPh>
    <phoneticPr fontId="1"/>
  </si>
  <si>
    <t>部署名：</t>
    <rPh sb="0" eb="2">
      <t>ブショ</t>
    </rPh>
    <rPh sb="2" eb="3">
      <t>メイ</t>
    </rPh>
    <phoneticPr fontId="1"/>
  </si>
  <si>
    <t>担当：</t>
    <rPh sb="0" eb="2">
      <t>タントウ</t>
    </rPh>
    <phoneticPr fontId="1"/>
  </si>
  <si>
    <t>電話：</t>
    <rPh sb="0" eb="2">
      <t>デンワ</t>
    </rPh>
    <phoneticPr fontId="1"/>
  </si>
  <si>
    <t>▼支払</t>
    <rPh sb="1" eb="3">
      <t>シハラ</t>
    </rPh>
    <phoneticPr fontId="31"/>
  </si>
  <si>
    <t>※お手数ですが、FAXを受け取られましたらお電話頂きたくお願い致します</t>
    <rPh sb="2" eb="4">
      <t>テスウ</t>
    </rPh>
    <rPh sb="12" eb="13">
      <t>ウ</t>
    </rPh>
    <rPh sb="14" eb="15">
      <t>ト</t>
    </rPh>
    <rPh sb="24" eb="25">
      <t>イタダ</t>
    </rPh>
    <rPh sb="29" eb="30">
      <t>ネガ</t>
    </rPh>
    <rPh sb="31" eb="32">
      <t>イタ</t>
    </rPh>
    <phoneticPr fontId="1"/>
  </si>
  <si>
    <t>上記担当以外の時→</t>
    <rPh sb="0" eb="2">
      <t>ジョウキ</t>
    </rPh>
    <rPh sb="2" eb="4">
      <t>タントウ</t>
    </rPh>
    <rPh sb="4" eb="6">
      <t>イガイ</t>
    </rPh>
    <rPh sb="7" eb="8">
      <t>トキ</t>
    </rPh>
    <phoneticPr fontId="1"/>
  </si>
  <si>
    <t>請求書を発行頂きたく、お願い致します</t>
    <rPh sb="0" eb="3">
      <t>セイキュウショ</t>
    </rPh>
    <rPh sb="4" eb="6">
      <t>ハッコウ</t>
    </rPh>
    <rPh sb="6" eb="7">
      <t>イタダ</t>
    </rPh>
    <rPh sb="12" eb="13">
      <t>ネガ</t>
    </rPh>
    <rPh sb="14" eb="15">
      <t>イタ</t>
    </rPh>
    <phoneticPr fontId="31"/>
  </si>
  <si>
    <t>上記担当者宛に発行</t>
    <rPh sb="0" eb="2">
      <t>ジョウキ</t>
    </rPh>
    <rPh sb="2" eb="5">
      <t>タントウシャ</t>
    </rPh>
    <rPh sb="5" eb="6">
      <t>アテ</t>
    </rPh>
    <rPh sb="7" eb="9">
      <t>ハッコウ</t>
    </rPh>
    <phoneticPr fontId="1"/>
  </si>
  <si>
    <t>本社</t>
    <rPh sb="0" eb="2">
      <t>ホンシャ</t>
    </rPh>
    <phoneticPr fontId="1"/>
  </si>
  <si>
    <t>事務1号館</t>
    <rPh sb="0" eb="2">
      <t>ジム</t>
    </rPh>
    <rPh sb="3" eb="5">
      <t>ゴウカン</t>
    </rPh>
    <phoneticPr fontId="1"/>
  </si>
  <si>
    <t>サプライチェーン戦略部　DX・人事渉外室　人事G</t>
    <rPh sb="8" eb="11">
      <t>センリャクブ</t>
    </rPh>
    <rPh sb="15" eb="17">
      <t>ジンジ</t>
    </rPh>
    <rPh sb="17" eb="20">
      <t>ショウガイシツ</t>
    </rPh>
    <rPh sb="21" eb="23">
      <t>ジンジ</t>
    </rPh>
    <phoneticPr fontId="1"/>
  </si>
  <si>
    <t>水野　有稀</t>
    <rPh sb="0" eb="2">
      <t>ミズノ</t>
    </rPh>
    <rPh sb="3" eb="4">
      <t>ユウ</t>
    </rPh>
    <rPh sb="4" eb="5">
      <t>マレ</t>
    </rPh>
    <phoneticPr fontId="1"/>
  </si>
  <si>
    <t>090-6393-2007</t>
    <phoneticPr fontId="1"/>
  </si>
  <si>
    <t>名札名</t>
    <rPh sb="0" eb="2">
      <t>ナフダ</t>
    </rPh>
    <rPh sb="2" eb="3">
      <t>メイ</t>
    </rPh>
    <phoneticPr fontId="1"/>
  </si>
  <si>
    <t>金額　３０，０００円</t>
    <rPh sb="0" eb="2">
      <t>キンガク</t>
    </rPh>
    <rPh sb="9" eb="10">
      <t>エン</t>
    </rPh>
    <phoneticPr fontId="1"/>
  </si>
  <si>
    <t>取締役社長　佐藤　恒治</t>
    <rPh sb="0" eb="3">
      <t>トリシマリヤク</t>
    </rPh>
    <phoneticPr fontId="31"/>
  </si>
  <si>
    <t xml:space="preserve"> ▼枕花</t>
  </si>
  <si>
    <t>金額　１５，０００円</t>
    <rPh sb="0" eb="2">
      <t>キンガク</t>
    </rPh>
    <rPh sb="9" eb="10">
      <t>エン</t>
    </rPh>
    <phoneticPr fontId="1"/>
  </si>
  <si>
    <t>総務人事本部長　東　崇徳</t>
    <rPh sb="0" eb="2">
      <t>ソウム</t>
    </rPh>
    <rPh sb="2" eb="4">
      <t>ジンジ</t>
    </rPh>
    <rPh sb="4" eb="7">
      <t>ホンブチョウ</t>
    </rPh>
    <rPh sb="8" eb="9">
      <t>アズマ</t>
    </rPh>
    <rPh sb="10" eb="12">
      <t>ストク</t>
    </rPh>
    <phoneticPr fontId="1"/>
  </si>
  <si>
    <t xml:space="preserve"> ▼籠盛</t>
    <rPh sb="2" eb="3">
      <t>カゴ</t>
    </rPh>
    <rPh sb="3" eb="4">
      <t>モ</t>
    </rPh>
    <phoneticPr fontId="1"/>
  </si>
  <si>
    <t>金額　１０，０００円</t>
    <rPh sb="0" eb="2">
      <t>キンガク</t>
    </rPh>
    <rPh sb="9" eb="10">
      <t>エン</t>
    </rPh>
    <phoneticPr fontId="1"/>
  </si>
  <si>
    <t>※「○一同」「○クラブ」等の打電は私用です！公用電報では打電できません。</t>
    <phoneticPr fontId="1"/>
  </si>
  <si>
    <t>弔慰電報依頼書（メグリア一括手配専用）</t>
    <rPh sb="0" eb="2">
      <t>チョウイ</t>
    </rPh>
    <rPh sb="2" eb="4">
      <t>デンポウ</t>
    </rPh>
    <rPh sb="4" eb="6">
      <t>イライ</t>
    </rPh>
    <rPh sb="6" eb="7">
      <t>ショ</t>
    </rPh>
    <rPh sb="12" eb="14">
      <t>イッカツ</t>
    </rPh>
    <rPh sb="14" eb="16">
      <t>テハイ</t>
    </rPh>
    <rPh sb="16" eb="18">
      <t>センヨウ</t>
    </rPh>
    <phoneticPr fontId="52"/>
  </si>
  <si>
    <r>
      <rPr>
        <sz val="10.5"/>
        <color theme="1" tint="0.499984740745262"/>
        <rFont val="HGPｺﾞｼｯｸM"/>
        <family val="3"/>
        <charset val="128"/>
      </rPr>
      <t>←このエクセルをデスクトップなど任意の場所に保存の上、左記ボタンを押してください。</t>
    </r>
    <r>
      <rPr>
        <sz val="8"/>
        <color theme="1" tint="0.499984740745262"/>
        <rFont val="HGPｺﾞｼｯｸM"/>
        <family val="3"/>
        <charset val="128"/>
      </rPr>
      <t>(PDFは同じ場所に保存されます)</t>
    </r>
    <rPh sb="16" eb="18">
      <t>ニンイ</t>
    </rPh>
    <rPh sb="19" eb="21">
      <t>バショ</t>
    </rPh>
    <rPh sb="22" eb="24">
      <t>ホゾン</t>
    </rPh>
    <rPh sb="25" eb="26">
      <t>ウエ</t>
    </rPh>
    <rPh sb="27" eb="29">
      <t>サキ</t>
    </rPh>
    <rPh sb="33" eb="34">
      <t>オ</t>
    </rPh>
    <rPh sb="46" eb="47">
      <t>オナ</t>
    </rPh>
    <rPh sb="48" eb="50">
      <t>バショ</t>
    </rPh>
    <rPh sb="51" eb="53">
      <t>ホゾン</t>
    </rPh>
    <phoneticPr fontId="1"/>
  </si>
  <si>
    <t>当日配達は正午までの受付に限ります</t>
    <rPh sb="0" eb="2">
      <t>トウジツ</t>
    </rPh>
    <rPh sb="2" eb="4">
      <t>ハイタツ</t>
    </rPh>
    <rPh sb="5" eb="7">
      <t>ショウゴ</t>
    </rPh>
    <rPh sb="10" eb="12">
      <t>ウケツケ</t>
    </rPh>
    <rPh sb="13" eb="14">
      <t>カギ</t>
    </rPh>
    <phoneticPr fontId="1"/>
  </si>
  <si>
    <t>会社名</t>
    <rPh sb="0" eb="2">
      <t>カイシャ</t>
    </rPh>
    <phoneticPr fontId="52"/>
  </si>
  <si>
    <t>トヨタ自動車株式会社</t>
    <rPh sb="3" eb="6">
      <t>ジドウシャ</t>
    </rPh>
    <rPh sb="6" eb="10">
      <t>カブシキガイシャ</t>
    </rPh>
    <phoneticPr fontId="52"/>
  </si>
  <si>
    <t>住 所</t>
    <phoneticPr fontId="52"/>
  </si>
  <si>
    <t>愛知県豊田市トヨタ町１番地</t>
    <rPh sb="0" eb="3">
      <t>アイチケン</t>
    </rPh>
    <rPh sb="3" eb="5">
      <t>トヨタ</t>
    </rPh>
    <rPh sb="5" eb="6">
      <t>シ</t>
    </rPh>
    <rPh sb="9" eb="10">
      <t>チョウ</t>
    </rPh>
    <rPh sb="11" eb="13">
      <t>バンチ</t>
    </rPh>
    <phoneticPr fontId="52"/>
  </si>
  <si>
    <t>部署名</t>
    <rPh sb="0" eb="2">
      <t>ブショ</t>
    </rPh>
    <rPh sb="2" eb="3">
      <t>メイ</t>
    </rPh>
    <phoneticPr fontId="52"/>
  </si>
  <si>
    <t>←【部署名、担当者名、電話番号】は弔事報告書より自動反映</t>
    <rPh sb="2" eb="4">
      <t>ブショ</t>
    </rPh>
    <rPh sb="4" eb="5">
      <t>メイ</t>
    </rPh>
    <rPh sb="6" eb="9">
      <t>タントウシャ</t>
    </rPh>
    <rPh sb="9" eb="10">
      <t>メイ</t>
    </rPh>
    <rPh sb="11" eb="13">
      <t>デンワ</t>
    </rPh>
    <rPh sb="13" eb="15">
      <t>バンゴウ</t>
    </rPh>
    <rPh sb="17" eb="22">
      <t>チョウジホウコクショ</t>
    </rPh>
    <rPh sb="24" eb="28">
      <t>ジドウハンエイ</t>
    </rPh>
    <phoneticPr fontId="1"/>
  </si>
  <si>
    <t>担当者名</t>
    <rPh sb="0" eb="4">
      <t>タントウシャメイ</t>
    </rPh>
    <phoneticPr fontId="52"/>
  </si>
  <si>
    <t>連絡先電話番号</t>
  </si>
  <si>
    <t>お届日</t>
    <rPh sb="1" eb="2">
      <t>トドケ</t>
    </rPh>
    <rPh sb="2" eb="3">
      <t>ビ</t>
    </rPh>
    <phoneticPr fontId="52"/>
  </si>
  <si>
    <t xml:space="preserve">　本　　　日  　　→１   　　  配達日指定　　→２ </t>
    <rPh sb="1" eb="2">
      <t>ホン</t>
    </rPh>
    <rPh sb="5" eb="6">
      <t>ヒ</t>
    </rPh>
    <rPh sb="19" eb="22">
      <t>ハイタツビ</t>
    </rPh>
    <rPh sb="22" eb="24">
      <t>シテイ</t>
    </rPh>
    <phoneticPr fontId="52"/>
  </si>
  <si>
    <t>指定月日</t>
  </si>
  <si>
    <t>午前→１
午後→２</t>
    <phoneticPr fontId="53"/>
  </si>
  <si>
    <t>←【お届日】入力</t>
    <rPh sb="3" eb="4">
      <t>トドケ</t>
    </rPh>
    <rPh sb="4" eb="5">
      <t>ビ</t>
    </rPh>
    <rPh sb="6" eb="8">
      <t>ニュウリョク</t>
    </rPh>
    <phoneticPr fontId="1"/>
  </si>
  <si>
    <t>お届け先</t>
    <rPh sb="1" eb="2">
      <t>トド</t>
    </rPh>
    <rPh sb="3" eb="4">
      <t>サキ</t>
    </rPh>
    <phoneticPr fontId="52"/>
  </si>
  <si>
    <t>お届先電話番号</t>
  </si>
  <si>
    <t>(</t>
    <phoneticPr fontId="1"/>
  </si>
  <si>
    <t>)</t>
    <phoneticPr fontId="1"/>
  </si>
  <si>
    <t>-</t>
    <phoneticPr fontId="1"/>
  </si>
  <si>
    <t>住所</t>
    <rPh sb="0" eb="2">
      <t>ジュウショ</t>
    </rPh>
    <phoneticPr fontId="52"/>
  </si>
  <si>
    <t>式場</t>
    <rPh sb="0" eb="2">
      <t>シキジョウ</t>
    </rPh>
    <phoneticPr fontId="53"/>
  </si>
  <si>
    <t>←【お届け先電話番号、住所、式場、名前（喪主様）】は弔事報告書：通夜情報より自動反映</t>
    <rPh sb="3" eb="4">
      <t>トド</t>
    </rPh>
    <rPh sb="5" eb="6">
      <t>サキ</t>
    </rPh>
    <rPh sb="11" eb="13">
      <t>ジュウショ</t>
    </rPh>
    <rPh sb="14" eb="16">
      <t>シキジョウ</t>
    </rPh>
    <rPh sb="17" eb="19">
      <t>ナマエ</t>
    </rPh>
    <rPh sb="20" eb="23">
      <t>モシュサマ</t>
    </rPh>
    <rPh sb="32" eb="36">
      <t>ツヤジョウホウ</t>
    </rPh>
    <phoneticPr fontId="1"/>
  </si>
  <si>
    <t>名前</t>
    <rPh sb="0" eb="2">
      <t>ナマエ</t>
    </rPh>
    <phoneticPr fontId="52"/>
  </si>
  <si>
    <t>様</t>
    <rPh sb="0" eb="1">
      <t>サマ</t>
    </rPh>
    <phoneticPr fontId="52"/>
  </si>
  <si>
    <t>①電文・差出人名</t>
    <rPh sb="2" eb="3">
      <t>ブン</t>
    </rPh>
    <rPh sb="4" eb="6">
      <t>サシダシ</t>
    </rPh>
    <rPh sb="6" eb="7">
      <t>ニン</t>
    </rPh>
    <rPh sb="7" eb="8">
      <t>ナ</t>
    </rPh>
    <phoneticPr fontId="54"/>
  </si>
  <si>
    <t>■台紙コード　又は　台紙名</t>
    <rPh sb="1" eb="3">
      <t>ダイシ</t>
    </rPh>
    <rPh sb="7" eb="8">
      <t>マタ</t>
    </rPh>
    <rPh sb="10" eb="12">
      <t>ダイシ</t>
    </rPh>
    <rPh sb="12" eb="13">
      <t>メイ</t>
    </rPh>
    <phoneticPr fontId="54"/>
  </si>
  <si>
    <t>【</t>
  </si>
  <si>
    <t>９９０：悼み</t>
    <rPh sb="4" eb="5">
      <t>イタ</t>
    </rPh>
    <phoneticPr fontId="51"/>
  </si>
  <si>
    <t>】</t>
  </si>
  <si>
    <t>電　文</t>
    <rPh sb="0" eb="1">
      <t>デン</t>
    </rPh>
    <rPh sb="2" eb="3">
      <t>ブン</t>
    </rPh>
    <phoneticPr fontId="54"/>
  </si>
  <si>
    <t>ご逝去の報に接し、心からお悔やみ申しあげます。</t>
  </si>
  <si>
    <t>←プルダウンリストあり（カーソルを置くと選べます）</t>
    <rPh sb="17" eb="18">
      <t>オ</t>
    </rPh>
    <rPh sb="20" eb="21">
      <t>エラ</t>
    </rPh>
    <phoneticPr fontId="1"/>
  </si>
  <si>
    <t>※直接入力もできます</t>
    <rPh sb="1" eb="3">
      <t>チョクセツ</t>
    </rPh>
    <rPh sb="3" eb="5">
      <t>ニュウリョク</t>
    </rPh>
    <phoneticPr fontId="1"/>
  </si>
  <si>
    <t>名前</t>
    <rPh sb="0" eb="2">
      <t>ナマエ</t>
    </rPh>
    <phoneticPr fontId="54"/>
  </si>
  <si>
    <t>トヨタ自動車株式会社</t>
    <rPh sb="3" eb="6">
      <t>ジドウシャ</t>
    </rPh>
    <rPh sb="6" eb="10">
      <t>カブシキガイシャ</t>
    </rPh>
    <phoneticPr fontId="51"/>
  </si>
  <si>
    <t>取締役社長　　佐藤　恒治（さとう　こうじ）</t>
    <rPh sb="0" eb="3">
      <t>トリシマリヤク</t>
    </rPh>
    <phoneticPr fontId="1"/>
  </si>
  <si>
    <t>担当役員名、所属上司名は直接入力すること</t>
    <rPh sb="0" eb="2">
      <t>タントウ</t>
    </rPh>
    <rPh sb="2" eb="4">
      <t>ヤクイン</t>
    </rPh>
    <rPh sb="4" eb="5">
      <t>メイ</t>
    </rPh>
    <rPh sb="6" eb="8">
      <t>ショゾク</t>
    </rPh>
    <rPh sb="8" eb="10">
      <t>ジョウシ</t>
    </rPh>
    <rPh sb="10" eb="11">
      <t>メイ</t>
    </rPh>
    <rPh sb="12" eb="14">
      <t>チョクセツ</t>
    </rPh>
    <rPh sb="14" eb="16">
      <t>ニュウリョク</t>
    </rPh>
    <phoneticPr fontId="1"/>
  </si>
  <si>
    <t>②電文・差出人名</t>
    <rPh sb="2" eb="3">
      <t>ブン</t>
    </rPh>
    <rPh sb="4" eb="6">
      <t>サシダシ</t>
    </rPh>
    <rPh sb="6" eb="7">
      <t>ニン</t>
    </rPh>
    <rPh sb="7" eb="8">
      <t>ナ</t>
    </rPh>
    <phoneticPr fontId="54"/>
  </si>
  <si>
    <t>←水色　必要に応じて部署名を入力</t>
    <rPh sb="1" eb="3">
      <t>ミズイロ</t>
    </rPh>
    <rPh sb="4" eb="6">
      <t>ヒツヨウ</t>
    </rPh>
    <rPh sb="7" eb="8">
      <t>オウ</t>
    </rPh>
    <rPh sb="10" eb="12">
      <t>ブショ</t>
    </rPh>
    <rPh sb="12" eb="13">
      <t>メイ</t>
    </rPh>
    <rPh sb="14" eb="16">
      <t>ニュウリョク</t>
    </rPh>
    <phoneticPr fontId="1"/>
  </si>
  <si>
    <t>③電文・差出人名</t>
    <rPh sb="2" eb="3">
      <t>ブン</t>
    </rPh>
    <rPh sb="4" eb="6">
      <t>サシダシ</t>
    </rPh>
    <rPh sb="6" eb="7">
      <t>ニン</t>
    </rPh>
    <rPh sb="7" eb="8">
      <t>ナ</t>
    </rPh>
    <phoneticPr fontId="54"/>
  </si>
  <si>
    <t>④電文・差出人名</t>
    <rPh sb="2" eb="3">
      <t>ブン</t>
    </rPh>
    <rPh sb="4" eb="6">
      <t>サシダシ</t>
    </rPh>
    <rPh sb="6" eb="7">
      <t>ニン</t>
    </rPh>
    <rPh sb="7" eb="8">
      <t>ナ</t>
    </rPh>
    <phoneticPr fontId="54"/>
  </si>
  <si>
    <t>＜電文　プルダウンリスト＞</t>
    <rPh sb="1" eb="3">
      <t>デンブン</t>
    </rPh>
    <phoneticPr fontId="1"/>
  </si>
  <si>
    <t>ご逝去を悼み、謹んでお悔やみ申し上げます。</t>
  </si>
  <si>
    <t>ご逝去の報に接し、心から哀悼の意を捧げます。</t>
  </si>
  <si>
    <t>ご訃報に接し、お悲しみをお察し申し上げますとともに、衷心より哀悼の意を表します。</t>
  </si>
  <si>
    <t>ご訃報に接し、心から哀悼の意を表します。安らかにご永眠されますようお祈りいたします。</t>
  </si>
  <si>
    <t>ご逝去の報に接し、謹んでお悔やみを申しあげます。ご遺族の皆様のお悲しみをお察し申しあげます。</t>
  </si>
  <si>
    <t>＜名前下段　プルダウンリスト＞</t>
    <rPh sb="1" eb="3">
      <t>ナマエ</t>
    </rPh>
    <rPh sb="3" eb="4">
      <t>シタ</t>
    </rPh>
    <phoneticPr fontId="1"/>
  </si>
  <si>
    <t>取締役会長　　内山田　竹志（うちやまだ　たけし）</t>
  </si>
  <si>
    <t>取締役社長　　豊田　章男（とよだ　あきお）</t>
    <phoneticPr fontId="1"/>
  </si>
  <si>
    <t>総務・人事本部長　　東　崇徳</t>
    <rPh sb="0" eb="2">
      <t>ソウム</t>
    </rPh>
    <rPh sb="3" eb="5">
      <t>ジンジ</t>
    </rPh>
    <rPh sb="5" eb="8">
      <t>ホンブチョウ</t>
    </rPh>
    <rPh sb="10" eb="11">
      <t>アズマ</t>
    </rPh>
    <rPh sb="12" eb="14">
      <t>タカノリ</t>
    </rPh>
    <phoneticPr fontId="1"/>
  </si>
  <si>
    <t>◆webサイトからの依頼　【24時間受付】</t>
    <phoneticPr fontId="1"/>
  </si>
  <si>
    <t>・以下のURLより、NTT西日本D-MAILサイトにアクセスし、画面に沿って依頼ください。</t>
    <phoneticPr fontId="1"/>
  </si>
  <si>
    <t>　https://dmail.denpo-west.ne.jp/p</t>
    <phoneticPr fontId="1"/>
  </si>
  <si>
    <t>＜マニュアル＞</t>
    <phoneticPr fontId="1"/>
  </si>
  <si>
    <t>掲載場所：T-wave TOP→部署→07.総務・人事→総務部→サイトマップ</t>
  </si>
  <si>
    <t>　　　　　　　→成長できる職場環境づくり→■業務サポート 文書管理</t>
    <phoneticPr fontId="1"/>
  </si>
  <si>
    <t>　　　　　　　→電報依頼方法→■電報依頼方法 ②電報発信方法</t>
    <phoneticPr fontId="1"/>
  </si>
  <si>
    <t>　　　　　　　D-MAILサイトで必要なIDはマニュアル内、PWはT-Wave内に記載あり</t>
    <phoneticPr fontId="1"/>
  </si>
  <si>
    <t>依頼方法詳細</t>
  </si>
  <si>
    <t>台紙</t>
  </si>
  <si>
    <t>無料のものを選択</t>
  </si>
  <si>
    <t>メッセージ</t>
  </si>
  <si>
    <t>　20～50文字程度のものを選択
　メッセージ例
　・ご逝去の報に接し、心からお悔やみ申しあげます。
　・ご逝去を悼み、謹んでお悔やみ申し上げます。</t>
    <phoneticPr fontId="1"/>
  </si>
  <si>
    <t>届け先</t>
  </si>
  <si>
    <t>喪主あて</t>
  </si>
  <si>
    <t>＊T-waveがご覧いただけない場合は、個人で立て替えていただき、後日、伝票処理</t>
    <phoneticPr fontId="1"/>
  </si>
  <si>
    <t>　（従業員立替）にて精算ください。受付完了メールをエビデンスとしてください。</t>
    <phoneticPr fontId="1"/>
  </si>
  <si>
    <t>◇ご参考：「供花・弔電」の一括手配</t>
    <phoneticPr fontId="1"/>
  </si>
  <si>
    <t>供花の手配がある場合は、弔電と合わせてメグリアセレモニーホールへ『供花・弔電を一括</t>
    <phoneticPr fontId="1"/>
  </si>
  <si>
    <r>
      <t>手配』することができます。</t>
    </r>
    <r>
      <rPr>
        <b/>
        <sz val="11"/>
        <color theme="1"/>
        <rFont val="HGPｺﾞｼｯｸE"/>
        <family val="3"/>
        <charset val="128"/>
      </rPr>
      <t>[すべての拠点から申込可能]</t>
    </r>
    <rPh sb="18" eb="20">
      <t>キョテン</t>
    </rPh>
    <rPh sb="22" eb="26">
      <t>モウシコミカノウ</t>
    </rPh>
    <phoneticPr fontId="1"/>
  </si>
  <si>
    <t>＜依頼方法＞</t>
    <phoneticPr fontId="1"/>
  </si>
  <si>
    <t>①弔事報告書の別シート『弔慰電報依頼書（メグリア一括手配専用）』と『供花手配依頼書』を</t>
    <phoneticPr fontId="1"/>
  </si>
  <si>
    <t>　メグリアへメール　メグリアメールアドレス：memoriaru@meglia.or.jp</t>
    <phoneticPr fontId="1"/>
  </si>
  <si>
    <t>②TELにて着信確認　メグリアTEL：0565-24-3655</t>
    <phoneticPr fontId="1"/>
  </si>
  <si>
    <t>＜注意事項＞</t>
    <phoneticPr fontId="1"/>
  </si>
  <si>
    <t>・受付時間は9:00～17:00です。</t>
    <phoneticPr fontId="1"/>
  </si>
  <si>
    <t xml:space="preserve"> ★電報の当日配達受付時間は、12:00までとなります。</t>
    <rPh sb="2" eb="4">
      <t>デンポウ</t>
    </rPh>
    <rPh sb="5" eb="9">
      <t>トウジツハイタツ</t>
    </rPh>
    <rPh sb="9" eb="13">
      <t>ウケツケジカン</t>
    </rPh>
    <phoneticPr fontId="1"/>
  </si>
  <si>
    <t>　17時以降にメール送信した場合は、翌日9時以降に必ず着信確認をお願いします。</t>
    <phoneticPr fontId="1"/>
  </si>
  <si>
    <t>・伝票処理時は、供花･弔電をまとめて、項目475(雑費：慶弔)で起票ください。</t>
    <phoneticPr fontId="1"/>
  </si>
  <si>
    <t>秘書部へのメール</t>
    <rPh sb="0" eb="2">
      <t>ヒショ</t>
    </rPh>
    <rPh sb="2" eb="3">
      <t>ブ</t>
    </rPh>
    <phoneticPr fontId="1"/>
  </si>
  <si>
    <t>TPSCへのメール</t>
  </si>
  <si>
    <t>部内、関係先展開用</t>
    <rPh sb="0" eb="2">
      <t>ブナイ</t>
    </rPh>
    <rPh sb="3" eb="5">
      <t>カンケイ</t>
    </rPh>
    <rPh sb="5" eb="6">
      <t>サキ</t>
    </rPh>
    <rPh sb="6" eb="8">
      <t>テンカイ</t>
    </rPh>
    <rPh sb="8" eb="9">
      <t>ヨウ</t>
    </rPh>
    <phoneticPr fontId="1"/>
  </si>
  <si>
    <t>宛先</t>
    <rPh sb="0" eb="2">
      <t>アテサキ</t>
    </rPh>
    <phoneticPr fontId="1"/>
  </si>
  <si>
    <t>aa-choji@mail.toyota.co.jp</t>
    <phoneticPr fontId="1"/>
  </si>
  <si>
    <t>ag-choji@mail.toyota.co.jp</t>
  </si>
  <si>
    <t>←各部個別設定してください。
空欄でもOK</t>
    <rPh sb="1" eb="3">
      <t>カクブ</t>
    </rPh>
    <rPh sb="3" eb="5">
      <t>コベツ</t>
    </rPh>
    <rPh sb="5" eb="7">
      <t>セッテイ</t>
    </rPh>
    <rPh sb="15" eb="17">
      <t>クウラン</t>
    </rPh>
    <phoneticPr fontId="1"/>
  </si>
  <si>
    <t>件名</t>
    <rPh sb="0" eb="2">
      <t>ケンメイ</t>
    </rPh>
    <phoneticPr fontId="1"/>
  </si>
  <si>
    <t>弔事報告書送付の件</t>
  </si>
  <si>
    <t>【本人弔事】弔事報告書送付の件</t>
    <phoneticPr fontId="1"/>
  </si>
  <si>
    <t>【弔事連絡】</t>
  </si>
  <si>
    <t>本文</t>
    <rPh sb="0" eb="2">
      <t>ホンブン</t>
    </rPh>
    <phoneticPr fontId="1"/>
  </si>
  <si>
    <t>秘書部　ご担当者殿
添付PDFの弔事報告書をお送りいたします。
ご査収ください。</t>
    <rPh sb="2" eb="3">
      <t>ブ</t>
    </rPh>
    <phoneticPr fontId="1"/>
  </si>
  <si>
    <t>トヨタパーソナルサポート株式会社　人事厚生部　ご担当者殿
添付PDFの弔事報告書（本人弔事）をお送りいたします。
ご査収ください。</t>
    <rPh sb="42" eb="44">
      <t>ホンニン</t>
    </rPh>
    <rPh sb="44" eb="46">
      <t>チョウジ</t>
    </rPh>
    <phoneticPr fontId="1"/>
  </si>
  <si>
    <t>←各部で個別設定ください。
デフォルトで弔事報告書の「申請者氏名」「申請者の所属コード」「逝去された方の氏名」「申請者との続柄」が関数によって反映されています。</t>
    <rPh sb="1" eb="3">
      <t>カクブ</t>
    </rPh>
    <rPh sb="4" eb="8">
      <t>コベツセッテイ</t>
    </rPh>
    <rPh sb="21" eb="26">
      <t>チョウジホウコクショ</t>
    </rPh>
    <rPh sb="28" eb="33">
      <t>シンセイシャシメイ</t>
    </rPh>
    <rPh sb="35" eb="38">
      <t>シンセイシャ</t>
    </rPh>
    <rPh sb="39" eb="41">
      <t>ショゾク</t>
    </rPh>
    <rPh sb="46" eb="48">
      <t>セイキョ</t>
    </rPh>
    <rPh sb="51" eb="52">
      <t>カタ</t>
    </rPh>
    <rPh sb="53" eb="55">
      <t>シメイ</t>
    </rPh>
    <rPh sb="57" eb="60">
      <t>シンセイシャ</t>
    </rPh>
    <rPh sb="62" eb="64">
      <t>ゾクガラ</t>
    </rPh>
    <rPh sb="66" eb="68">
      <t>カンスウ</t>
    </rPh>
    <rPh sb="72" eb="74">
      <t>ハンエイ</t>
    </rPh>
    <phoneticPr fontId="1"/>
  </si>
  <si>
    <t>選択肢プルダウンリスト</t>
    <rPh sb="0" eb="3">
      <t>センタクシ</t>
    </rPh>
    <phoneticPr fontId="1"/>
  </si>
  <si>
    <t>マクロ制御</t>
    <rPh sb="3" eb="5">
      <t>セイギョ</t>
    </rPh>
    <phoneticPr fontId="1"/>
  </si>
  <si>
    <t>時間</t>
    <rPh sb="0" eb="2">
      <t>ジカン</t>
    </rPh>
    <phoneticPr fontId="1"/>
  </si>
  <si>
    <t>分</t>
    <rPh sb="0" eb="1">
      <t>フン</t>
    </rPh>
    <phoneticPr fontId="1"/>
  </si>
  <si>
    <t>曜日</t>
    <rPh sb="0" eb="2">
      <t>ヨウビ</t>
    </rPh>
    <phoneticPr fontId="1"/>
  </si>
  <si>
    <t>業務上</t>
    <rPh sb="0" eb="3">
      <t>ギョウムジョウ</t>
    </rPh>
    <phoneticPr fontId="1"/>
  </si>
  <si>
    <t>0</t>
    <phoneticPr fontId="1"/>
  </si>
  <si>
    <t>00</t>
    <phoneticPr fontId="1"/>
  </si>
  <si>
    <t>辞退</t>
    <rPh sb="0" eb="2">
      <t>ジタイ</t>
    </rPh>
    <phoneticPr fontId="1"/>
  </si>
  <si>
    <t>業務外</t>
    <rPh sb="0" eb="3">
      <t>ギョウムガイ</t>
    </rPh>
    <phoneticPr fontId="1"/>
  </si>
  <si>
    <t>幹部職</t>
    <rPh sb="0" eb="3">
      <t>カンブショク</t>
    </rPh>
    <phoneticPr fontId="1"/>
  </si>
  <si>
    <t>火</t>
    <rPh sb="0" eb="1">
      <t>ヒ</t>
    </rPh>
    <phoneticPr fontId="1"/>
  </si>
  <si>
    <t>有り</t>
    <rPh sb="0" eb="1">
      <t>ア</t>
    </rPh>
    <phoneticPr fontId="1"/>
  </si>
  <si>
    <t>基幹職</t>
    <rPh sb="0" eb="3">
      <t>キカンショク</t>
    </rPh>
    <phoneticPr fontId="1"/>
  </si>
  <si>
    <t>水</t>
  </si>
  <si>
    <t>無し</t>
    <rPh sb="0" eb="1">
      <t>ナシ</t>
    </rPh>
    <phoneticPr fontId="1"/>
  </si>
  <si>
    <t>従業員区分</t>
    <phoneticPr fontId="1"/>
  </si>
  <si>
    <t>主任職・CX級</t>
    <rPh sb="0" eb="3">
      <t>シュニンショク</t>
    </rPh>
    <rPh sb="6" eb="7">
      <t>キュウ</t>
    </rPh>
    <phoneticPr fontId="1"/>
  </si>
  <si>
    <t>木</t>
  </si>
  <si>
    <t>従業員</t>
    <rPh sb="0" eb="3">
      <t>ジュウギョウイン</t>
    </rPh>
    <phoneticPr fontId="1"/>
  </si>
  <si>
    <t>指導職・SX級・EX級・業務職S･1級</t>
    <rPh sb="0" eb="3">
      <t>シドウショク</t>
    </rPh>
    <rPh sb="6" eb="7">
      <t>キュウ</t>
    </rPh>
    <rPh sb="10" eb="11">
      <t>キュウ</t>
    </rPh>
    <phoneticPr fontId="1"/>
  </si>
  <si>
    <t>金</t>
  </si>
  <si>
    <t>香料･供花･弔電</t>
    <rPh sb="0" eb="2">
      <t>コウリョウ</t>
    </rPh>
    <rPh sb="3" eb="5">
      <t>キョウカ</t>
    </rPh>
    <rPh sb="6" eb="8">
      <t>チョウデン</t>
    </rPh>
    <phoneticPr fontId="1"/>
  </si>
  <si>
    <t>元従業員(退職後3ヶ月以上)</t>
  </si>
  <si>
    <t>中堅/初級/基礎技能職・担当事技職・業務職2･3級・準社員</t>
    <rPh sb="0" eb="2">
      <t>チュウケン</t>
    </rPh>
    <rPh sb="3" eb="5">
      <t>ショキュウ</t>
    </rPh>
    <rPh sb="6" eb="8">
      <t>キソ</t>
    </rPh>
    <rPh sb="8" eb="11">
      <t>ギノウショク</t>
    </rPh>
    <rPh sb="12" eb="14">
      <t>タントウ</t>
    </rPh>
    <rPh sb="14" eb="16">
      <t>ジギ</t>
    </rPh>
    <rPh sb="16" eb="17">
      <t>ショク</t>
    </rPh>
    <rPh sb="18" eb="20">
      <t>ギョウム</t>
    </rPh>
    <rPh sb="20" eb="21">
      <t>ショク</t>
    </rPh>
    <rPh sb="24" eb="25">
      <t>キュウ</t>
    </rPh>
    <phoneticPr fontId="1"/>
  </si>
  <si>
    <t>土</t>
  </si>
  <si>
    <t>会社：可、個人的なもの：可</t>
    <rPh sb="0" eb="2">
      <t>カイシャ</t>
    </rPh>
    <rPh sb="3" eb="4">
      <t>カ</t>
    </rPh>
    <rPh sb="5" eb="8">
      <t>コジンテキ</t>
    </rPh>
    <rPh sb="12" eb="13">
      <t>カ</t>
    </rPh>
    <phoneticPr fontId="1"/>
  </si>
  <si>
    <t>常勤・非常勤嘱託</t>
    <rPh sb="0" eb="2">
      <t>ジョウキン</t>
    </rPh>
    <rPh sb="3" eb="8">
      <t>ヒジョウキンショクタク</t>
    </rPh>
    <phoneticPr fontId="1"/>
  </si>
  <si>
    <t>日</t>
  </si>
  <si>
    <t>会社：可、個人的なもの：辞退</t>
    <rPh sb="0" eb="2">
      <t>カイシャ</t>
    </rPh>
    <rPh sb="3" eb="4">
      <t>カ</t>
    </rPh>
    <rPh sb="5" eb="8">
      <t>コジンテキ</t>
    </rPh>
    <rPh sb="12" eb="14">
      <t>ジタイ</t>
    </rPh>
    <phoneticPr fontId="1"/>
  </si>
  <si>
    <t>学園生（専門部含）</t>
    <rPh sb="0" eb="3">
      <t>ガクエンセイ</t>
    </rPh>
    <rPh sb="4" eb="7">
      <t>センモンブ</t>
    </rPh>
    <rPh sb="7" eb="8">
      <t>フク</t>
    </rPh>
    <phoneticPr fontId="1"/>
  </si>
  <si>
    <t>会社：辞退　個人的なもの：辞退</t>
    <rPh sb="0" eb="2">
      <t>カイシャ</t>
    </rPh>
    <rPh sb="3" eb="5">
      <t>ジタイ</t>
    </rPh>
    <rPh sb="6" eb="9">
      <t>コジンテキ</t>
    </rPh>
    <rPh sb="13" eb="15">
      <t>ジタイ</t>
    </rPh>
    <phoneticPr fontId="1"/>
  </si>
  <si>
    <t>ﾊﾟｰﾄ・ｱﾙﾊﾞｲﾄ・期間従業員・受入出向者</t>
    <rPh sb="12" eb="14">
      <t>キカン</t>
    </rPh>
    <rPh sb="14" eb="17">
      <t>ジュウギョウイン</t>
    </rPh>
    <rPh sb="18" eb="20">
      <t>ウケイレ</t>
    </rPh>
    <rPh sb="20" eb="23">
      <t>シュッコウシャ</t>
    </rPh>
    <phoneticPr fontId="1"/>
  </si>
  <si>
    <t>弔事区分（申請者との続柄</t>
    <rPh sb="0" eb="2">
      <t>チョウジ</t>
    </rPh>
    <rPh sb="2" eb="4">
      <t>クブン</t>
    </rPh>
    <rPh sb="5" eb="8">
      <t>シンセイシャ</t>
    </rPh>
    <rPh sb="10" eb="12">
      <t>ゾクガラ</t>
    </rPh>
    <phoneticPr fontId="1"/>
  </si>
  <si>
    <t>連絡先</t>
    <rPh sb="0" eb="3">
      <t>レンラクサキ</t>
    </rPh>
    <phoneticPr fontId="1"/>
  </si>
  <si>
    <t>本人</t>
    <rPh sb="0" eb="2">
      <t>ホンニン</t>
    </rPh>
    <phoneticPr fontId="1"/>
  </si>
  <si>
    <t>配偶者</t>
    <rPh sb="0" eb="3">
      <t>ハイグウシャ</t>
    </rPh>
    <phoneticPr fontId="1"/>
  </si>
  <si>
    <t>定年</t>
    <rPh sb="0" eb="2">
      <t>テイネン</t>
    </rPh>
    <phoneticPr fontId="1"/>
  </si>
  <si>
    <t>喪主</t>
    <rPh sb="0" eb="2">
      <t>モシュ</t>
    </rPh>
    <phoneticPr fontId="1"/>
  </si>
  <si>
    <t>子供</t>
    <phoneticPr fontId="1"/>
  </si>
  <si>
    <t>転籍</t>
    <rPh sb="0" eb="2">
      <t>テンセキ</t>
    </rPh>
    <phoneticPr fontId="1"/>
  </si>
  <si>
    <t>実父母</t>
    <rPh sb="0" eb="3">
      <t>ジツフボ</t>
    </rPh>
    <phoneticPr fontId="1"/>
  </si>
  <si>
    <t>社内親族</t>
    <rPh sb="0" eb="2">
      <t>シャナイ</t>
    </rPh>
    <rPh sb="2" eb="4">
      <t>シンゾク</t>
    </rPh>
    <phoneticPr fontId="1"/>
  </si>
  <si>
    <t>義父母</t>
    <rPh sb="0" eb="3">
      <t>ギフボ</t>
    </rPh>
    <phoneticPr fontId="1"/>
  </si>
  <si>
    <t>〇</t>
    <phoneticPr fontId="1"/>
  </si>
  <si>
    <t>事後の為手配無し</t>
    <rPh sb="0" eb="2">
      <t>ジゴ</t>
    </rPh>
    <rPh sb="3" eb="4">
      <t>タメ</t>
    </rPh>
    <rPh sb="4" eb="6">
      <t>テハイ</t>
    </rPh>
    <rPh sb="6" eb="7">
      <t>ナシ</t>
    </rPh>
    <phoneticPr fontId="1"/>
  </si>
  <si>
    <t>電報</t>
    <rPh sb="0" eb="2">
      <t>デンポウ</t>
    </rPh>
    <phoneticPr fontId="1"/>
  </si>
  <si>
    <t>仏式</t>
    <rPh sb="0" eb="2">
      <t>ブッシキ</t>
    </rPh>
    <phoneticPr fontId="1"/>
  </si>
  <si>
    <t>神式</t>
    <rPh sb="0" eb="2">
      <t>シンシキ</t>
    </rPh>
    <phoneticPr fontId="1"/>
  </si>
  <si>
    <t>取締役会長　　豊田　章男（とよだ　あきお）</t>
    <rPh sb="7" eb="9">
      <t>トヨダ</t>
    </rPh>
    <rPh sb="10" eb="11">
      <t>アキラ</t>
    </rPh>
    <rPh sb="11" eb="12">
      <t>オ</t>
    </rPh>
    <phoneticPr fontId="1"/>
  </si>
  <si>
    <t>キリスト教</t>
    <rPh sb="4" eb="5">
      <t>キョウ</t>
    </rPh>
    <phoneticPr fontId="1"/>
  </si>
  <si>
    <t>その他</t>
    <rPh sb="2" eb="3">
      <t>タ</t>
    </rPh>
    <phoneticPr fontId="1"/>
  </si>
  <si>
    <t>役員一同</t>
    <phoneticPr fontId="1"/>
  </si>
  <si>
    <t>総務・人事本部長　　東　崇徳（あずま　たかのり）</t>
    <rPh sb="0" eb="2">
      <t>ソウム</t>
    </rPh>
    <rPh sb="3" eb="5">
      <t>ジンジ</t>
    </rPh>
    <rPh sb="5" eb="8">
      <t>ホンブチョウ</t>
    </rPh>
    <rPh sb="10" eb="11">
      <t>アズマ</t>
    </rPh>
    <rPh sb="12" eb="14">
      <t>ストク</t>
    </rPh>
    <phoneticPr fontId="1"/>
  </si>
  <si>
    <t>展開してもよい</t>
    <rPh sb="0" eb="2">
      <t>テンカイ</t>
    </rPh>
    <phoneticPr fontId="1"/>
  </si>
  <si>
    <t>展開を希望しない</t>
    <rPh sb="0" eb="2">
      <t>テンカイ</t>
    </rPh>
    <rPh sb="3" eb="5">
      <t>キボウ</t>
    </rPh>
    <phoneticPr fontId="1"/>
  </si>
  <si>
    <t>課長またはGM</t>
    <rPh sb="0" eb="2">
      <t>カチョウ</t>
    </rPh>
    <phoneticPr fontId="1"/>
  </si>
  <si>
    <t>課長と工長の連名</t>
    <rPh sb="0" eb="2">
      <t>カチョウ</t>
    </rPh>
    <rPh sb="3" eb="5">
      <t>コウチョウ</t>
    </rPh>
    <rPh sb="6" eb="8">
      <t>レンメイ</t>
    </rPh>
    <phoneticPr fontId="1"/>
  </si>
  <si>
    <t>手配基準 早見表</t>
    <rPh sb="0" eb="2">
      <t>テハイ</t>
    </rPh>
    <rPh sb="2" eb="4">
      <t>キジュン</t>
    </rPh>
    <rPh sb="5" eb="8">
      <t>ハヤミヒョウ</t>
    </rPh>
    <phoneticPr fontId="2"/>
  </si>
  <si>
    <t>行番号⇒</t>
    <rPh sb="0" eb="3">
      <t>ギョウバンゴウ</t>
    </rPh>
    <phoneticPr fontId="1"/>
  </si>
  <si>
    <t>ブランクは対応なし</t>
    <phoneticPr fontId="2"/>
  </si>
  <si>
    <t>区分+従業員区分+資格+弔事区分のテキスト
↓</t>
    <rPh sb="0" eb="2">
      <t>クブン</t>
    </rPh>
    <rPh sb="3" eb="6">
      <t>ジュウギョウイン</t>
    </rPh>
    <rPh sb="6" eb="8">
      <t>クブン</t>
    </rPh>
    <rPh sb="9" eb="11">
      <t>シカク</t>
    </rPh>
    <rPh sb="12" eb="16">
      <t>チョウジクブン</t>
    </rPh>
    <phoneticPr fontId="1"/>
  </si>
  <si>
    <t>区分</t>
    <rPh sb="0" eb="2">
      <t>クブン</t>
    </rPh>
    <phoneticPr fontId="2"/>
  </si>
  <si>
    <t>従業員区分</t>
    <rPh sb="0" eb="2">
      <t>ジュウギョウ</t>
    </rPh>
    <rPh sb="2" eb="3">
      <t>イン</t>
    </rPh>
    <rPh sb="3" eb="5">
      <t>クブン</t>
    </rPh>
    <phoneticPr fontId="2"/>
  </si>
  <si>
    <t>資格</t>
    <rPh sb="0" eb="2">
      <t>シカク</t>
    </rPh>
    <phoneticPr fontId="2"/>
  </si>
  <si>
    <t>弔事区分</t>
    <rPh sb="0" eb="2">
      <t>チョウジ</t>
    </rPh>
    <rPh sb="2" eb="4">
      <t>クブン</t>
    </rPh>
    <phoneticPr fontId="2"/>
  </si>
  <si>
    <t>弔慰金</t>
    <rPh sb="0" eb="3">
      <t>チョウイキン</t>
    </rPh>
    <phoneticPr fontId="2"/>
  </si>
  <si>
    <t>特別香料</t>
    <rPh sb="0" eb="2">
      <t>トクベツ</t>
    </rPh>
    <rPh sb="2" eb="4">
      <t>コウリョウ</t>
    </rPh>
    <phoneticPr fontId="2"/>
  </si>
  <si>
    <t>供花</t>
    <rPh sb="0" eb="2">
      <t>キョウカ</t>
    </rPh>
    <phoneticPr fontId="2"/>
  </si>
  <si>
    <t>枕花</t>
    <rPh sb="0" eb="1">
      <t>マクラ</t>
    </rPh>
    <rPh sb="1" eb="2">
      <t>バナ</t>
    </rPh>
    <phoneticPr fontId="2"/>
  </si>
  <si>
    <t>供物</t>
    <rPh sb="0" eb="2">
      <t>クモツ</t>
    </rPh>
    <phoneticPr fontId="2"/>
  </si>
  <si>
    <t>弔電</t>
    <rPh sb="0" eb="2">
      <t>チョウデン</t>
    </rPh>
    <phoneticPr fontId="2"/>
  </si>
  <si>
    <t>業務区分</t>
    <rPh sb="0" eb="2">
      <t>ギョウム</t>
    </rPh>
    <rPh sb="2" eb="4">
      <t>クブン</t>
    </rPh>
    <phoneticPr fontId="2"/>
  </si>
  <si>
    <t>＊再雇用期間中および定年・転籍・再雇用契約満了後、3ヶ月経過以内は『従業員』を選択</t>
    <rPh sb="34" eb="37">
      <t>ジュウギョウイン</t>
    </rPh>
    <rPh sb="39" eb="41">
      <t>センタク</t>
    </rPh>
    <phoneticPr fontId="2"/>
  </si>
  <si>
    <r>
      <t xml:space="preserve">資格
</t>
    </r>
    <r>
      <rPr>
        <sz val="6"/>
        <color theme="0"/>
        <rFont val="Meiryo UI"/>
        <family val="3"/>
        <charset val="128"/>
      </rPr>
      <t>(再雇用期間中および定年・転籍・再雇用契約満了後、3ヶ月経過以内は、『従業員』（在籍時）の基準で対応）</t>
    </r>
    <rPh sb="0" eb="2">
      <t>シカク</t>
    </rPh>
    <rPh sb="38" eb="41">
      <t>ジュウギョウイン</t>
    </rPh>
    <rPh sb="51" eb="53">
      <t>タイオウ</t>
    </rPh>
    <phoneticPr fontId="2"/>
  </si>
  <si>
    <t>会社名</t>
    <rPh sb="0" eb="2">
      <t>カイシャ</t>
    </rPh>
    <rPh sb="2" eb="3">
      <t>メイ</t>
    </rPh>
    <phoneticPr fontId="2"/>
  </si>
  <si>
    <t>役員
一同</t>
    <rPh sb="0" eb="2">
      <t>ヤクイン</t>
    </rPh>
    <rPh sb="3" eb="5">
      <t>イチドウ</t>
    </rPh>
    <phoneticPr fontId="2"/>
  </si>
  <si>
    <t>人事本部長</t>
    <rPh sb="0" eb="2">
      <t>ジンジ</t>
    </rPh>
    <rPh sb="2" eb="5">
      <t>ホンブチョウ</t>
    </rPh>
    <phoneticPr fontId="2"/>
  </si>
  <si>
    <t>担当本部長</t>
    <rPh sb="0" eb="2">
      <t>タントウ</t>
    </rPh>
    <rPh sb="2" eb="5">
      <t>ホンブチョウ</t>
    </rPh>
    <phoneticPr fontId="2"/>
  </si>
  <si>
    <t>部長</t>
    <rPh sb="0" eb="2">
      <t>ブチョウ</t>
    </rPh>
    <phoneticPr fontId="2"/>
  </si>
  <si>
    <t>次長
室長</t>
    <rPh sb="0" eb="2">
      <t>ジチョウ</t>
    </rPh>
    <rPh sb="3" eb="5">
      <t>シツチョウ</t>
    </rPh>
    <phoneticPr fontId="2"/>
  </si>
  <si>
    <t>課長
ＧＭ</t>
    <rPh sb="0" eb="2">
      <t>カチョウ</t>
    </rPh>
    <phoneticPr fontId="2"/>
  </si>
  <si>
    <t>課長
工長
連名
※４</t>
    <rPh sb="0" eb="2">
      <t>カチョウ</t>
    </rPh>
    <rPh sb="3" eb="5">
      <t>コウチョウ</t>
    </rPh>
    <rPh sb="6" eb="8">
      <t>レンメイ</t>
    </rPh>
    <phoneticPr fontId="2"/>
  </si>
  <si>
    <t>社長</t>
    <rPh sb="0" eb="2">
      <t>シャチョウ</t>
    </rPh>
    <phoneticPr fontId="2"/>
  </si>
  <si>
    <t>役員一同</t>
    <rPh sb="0" eb="2">
      <t>ヤクイン</t>
    </rPh>
    <rPh sb="2" eb="4">
      <t>イチドウ</t>
    </rPh>
    <phoneticPr fontId="2"/>
  </si>
  <si>
    <t>人事本部長・担当本部長</t>
    <rPh sb="0" eb="2">
      <t>ジンジ</t>
    </rPh>
    <phoneticPr fontId="2"/>
  </si>
  <si>
    <t>部長</t>
  </si>
  <si>
    <t>会長名</t>
    <rPh sb="0" eb="3">
      <t>カイチョウメイ</t>
    </rPh>
    <phoneticPr fontId="2"/>
  </si>
  <si>
    <t>社長名</t>
    <rPh sb="0" eb="2">
      <t>シャチョウ</t>
    </rPh>
    <rPh sb="2" eb="3">
      <t>メイ</t>
    </rPh>
    <phoneticPr fontId="2"/>
  </si>
  <si>
    <t>役員一同名</t>
    <rPh sb="0" eb="2">
      <t>ヤクイン</t>
    </rPh>
    <rPh sb="2" eb="4">
      <t>イチドウ</t>
    </rPh>
    <rPh sb="4" eb="5">
      <t>メイ</t>
    </rPh>
    <phoneticPr fontId="2"/>
  </si>
  <si>
    <t>所属上司名</t>
    <rPh sb="0" eb="2">
      <t>ショゾク</t>
    </rPh>
    <rPh sb="2" eb="4">
      <t>ジョウシ</t>
    </rPh>
    <rPh sb="4" eb="5">
      <t>メイ</t>
    </rPh>
    <phoneticPr fontId="2"/>
  </si>
  <si>
    <t>所属職制連名※直属上司、３名まで</t>
    <rPh sb="0" eb="2">
      <t>ショゾク</t>
    </rPh>
    <rPh sb="2" eb="4">
      <t>ショクセイ</t>
    </rPh>
    <rPh sb="4" eb="6">
      <t>レンメイ</t>
    </rPh>
    <rPh sb="7" eb="9">
      <t>チョクゾク</t>
    </rPh>
    <rPh sb="9" eb="11">
      <t>ジョウシ</t>
    </rPh>
    <rPh sb="13" eb="14">
      <t>メイ</t>
    </rPh>
    <phoneticPr fontId="2"/>
  </si>
  <si>
    <t>業務外従業員幹部職本人</t>
  </si>
  <si>
    <t>業務外</t>
    <rPh sb="0" eb="3">
      <t>ギョウムガイ</t>
    </rPh>
    <phoneticPr fontId="2"/>
  </si>
  <si>
    <t>従業員</t>
    <rPh sb="0" eb="3">
      <t>ジュウギョウイン</t>
    </rPh>
    <phoneticPr fontId="2"/>
  </si>
  <si>
    <t>幹部職</t>
    <rPh sb="0" eb="3">
      <t>カンブショク</t>
    </rPh>
    <phoneticPr fontId="2"/>
  </si>
  <si>
    <t>本人</t>
    <rPh sb="0" eb="2">
      <t>ホンニン</t>
    </rPh>
    <phoneticPr fontId="2"/>
  </si>
  <si>
    <t>各15000</t>
    <phoneticPr fontId="1"/>
  </si>
  <si>
    <t>○</t>
  </si>
  <si>
    <t>○</t>
    <phoneticPr fontId="1"/>
  </si>
  <si>
    <t>業務外従業員幹部職配偶者</t>
    <phoneticPr fontId="1"/>
  </si>
  <si>
    <t>配偶者</t>
    <rPh sb="0" eb="3">
      <t>ハイグウシャ</t>
    </rPh>
    <phoneticPr fontId="2"/>
  </si>
  <si>
    <t>業務外従業員幹部職子供</t>
    <phoneticPr fontId="1"/>
  </si>
  <si>
    <t>子供</t>
    <phoneticPr fontId="2"/>
  </si>
  <si>
    <t>業務外従業員幹部職実父母</t>
  </si>
  <si>
    <t>実父母</t>
    <rPh sb="0" eb="3">
      <t>ジツフボ</t>
    </rPh>
    <phoneticPr fontId="2"/>
  </si>
  <si>
    <t>業務外従業員幹部職義父母</t>
  </si>
  <si>
    <t>義父母</t>
    <rPh sb="0" eb="3">
      <t>ギフボ</t>
    </rPh>
    <phoneticPr fontId="2"/>
  </si>
  <si>
    <t>業務外従業員基幹職本人</t>
  </si>
  <si>
    <t>基幹職</t>
    <rPh sb="0" eb="3">
      <t>キカンショク</t>
    </rPh>
    <phoneticPr fontId="2"/>
  </si>
  <si>
    <t>業務外従業員基幹職配偶者</t>
    <phoneticPr fontId="1"/>
  </si>
  <si>
    <t>業務外従業員基幹職子供</t>
    <phoneticPr fontId="1"/>
  </si>
  <si>
    <t>業務外従業員基幹職実父母</t>
  </si>
  <si>
    <t>業務外従業員基幹職義父母</t>
  </si>
  <si>
    <t>業務外従業員主任職・CX級本人</t>
  </si>
  <si>
    <t>主任職・CX級</t>
    <rPh sb="0" eb="3">
      <t>シュニンショク</t>
    </rPh>
    <rPh sb="6" eb="7">
      <t>キュウ</t>
    </rPh>
    <phoneticPr fontId="2"/>
  </si>
  <si>
    <t>業務外従業員主任職・CX級配偶者</t>
  </si>
  <si>
    <t>業務外従業員主任職・CX級子供</t>
  </si>
  <si>
    <t>業務外従業員主任職・CX級実父母</t>
  </si>
  <si>
    <t>業務外従業員主任職・CX級義父母</t>
  </si>
  <si>
    <t>業務外従業員指導職・SX級・EX級・業務職S･1級本人</t>
  </si>
  <si>
    <t>指導職・SX級・EX級・業務職S･1級</t>
    <rPh sb="0" eb="3">
      <t>シドウショク</t>
    </rPh>
    <rPh sb="6" eb="7">
      <t>キュウ</t>
    </rPh>
    <rPh sb="10" eb="11">
      <t>キュウ</t>
    </rPh>
    <phoneticPr fontId="2"/>
  </si>
  <si>
    <t>各15,000</t>
    <phoneticPr fontId="1"/>
  </si>
  <si>
    <t>業務外従業員指導職・SX級・EX級・業務職S･1級配偶者</t>
  </si>
  <si>
    <t>業務外従業員指導職・SX級・EX級・業務職S･1級子供</t>
  </si>
  <si>
    <t>業務外従業員指導職・SX級・EX級・業務職S･1級実父母</t>
  </si>
  <si>
    <t>業務外従業員指導職・SX級・EX級・業務職S･1級義父母</t>
  </si>
  <si>
    <t>業務外従業員中堅/初級/基礎技能職・担当事技職・業務職2･3級・準社員本人</t>
    <rPh sb="32" eb="33">
      <t>ジュン</t>
    </rPh>
    <rPh sb="33" eb="35">
      <t>シャイン</t>
    </rPh>
    <phoneticPr fontId="1"/>
  </si>
  <si>
    <t>中堅/初級/基礎技能職・担当事技職・業務職2･3級・準社員</t>
    <rPh sb="0" eb="2">
      <t>チュウケン</t>
    </rPh>
    <rPh sb="3" eb="5">
      <t>ショキュウ</t>
    </rPh>
    <rPh sb="6" eb="8">
      <t>キソ</t>
    </rPh>
    <rPh sb="8" eb="11">
      <t>ギノウショク</t>
    </rPh>
    <rPh sb="12" eb="14">
      <t>タントウ</t>
    </rPh>
    <rPh sb="14" eb="16">
      <t>ジギ</t>
    </rPh>
    <rPh sb="16" eb="17">
      <t>ショク</t>
    </rPh>
    <rPh sb="18" eb="20">
      <t>ギョウム</t>
    </rPh>
    <rPh sb="20" eb="21">
      <t>ショク</t>
    </rPh>
    <rPh sb="24" eb="25">
      <t>キュウ</t>
    </rPh>
    <rPh sb="26" eb="27">
      <t>ジュン</t>
    </rPh>
    <rPh sb="27" eb="29">
      <t>シャイン</t>
    </rPh>
    <phoneticPr fontId="2"/>
  </si>
  <si>
    <t>業務外従業員中堅/初級/基礎技能職・担当事技職・業務職2･3級・準社員配偶者</t>
    <phoneticPr fontId="1"/>
  </si>
  <si>
    <t>業務外従業員中堅/初級/基礎技能職・担当事技職・業務職2･3級・準社員子供</t>
    <phoneticPr fontId="1"/>
  </si>
  <si>
    <t>業務外従業員中堅/初級/基礎技能職・担当事技職・業務職2･3級・準社員実父母</t>
    <phoneticPr fontId="1"/>
  </si>
  <si>
    <t>業務外従業員中堅/初級/基礎技能職・担当事技職・業務職2･3級・準社員義父母</t>
    <rPh sb="32" eb="33">
      <t>ジュン</t>
    </rPh>
    <rPh sb="33" eb="35">
      <t>シャイン</t>
    </rPh>
    <phoneticPr fontId="1"/>
  </si>
  <si>
    <t>業務外従業員常勤・非常勤嘱託本人</t>
  </si>
  <si>
    <t>常勤・非常勤嘱託</t>
    <rPh sb="0" eb="2">
      <t>ジョウキン</t>
    </rPh>
    <rPh sb="3" eb="8">
      <t>ヒジョウキンショクタク</t>
    </rPh>
    <phoneticPr fontId="2"/>
  </si>
  <si>
    <t>業務外従業員常勤・非常勤嘱託配偶者</t>
  </si>
  <si>
    <t>業務外従業員常勤・非常勤嘱託子供</t>
  </si>
  <si>
    <t>業務外従業員常勤・非常勤嘱託実父母</t>
  </si>
  <si>
    <t>業務外従業員常勤・非常勤嘱託義父母</t>
  </si>
  <si>
    <t>業務外従業員学園生（専門部含）本人</t>
  </si>
  <si>
    <t>学園生（専門部含）</t>
    <rPh sb="0" eb="3">
      <t>ガクエンセイ</t>
    </rPh>
    <rPh sb="4" eb="7">
      <t>センモンブ</t>
    </rPh>
    <rPh sb="7" eb="8">
      <t>フク</t>
    </rPh>
    <phoneticPr fontId="2"/>
  </si>
  <si>
    <t>業務外従業員学園生（専門部含）配偶者</t>
  </si>
  <si>
    <t>業務外従業員学園生（専門部含）子供</t>
  </si>
  <si>
    <t>業務外従業員学園生（専門部含）実父母</t>
  </si>
  <si>
    <t>業務外従業員学園生（専門部含）義父母</t>
  </si>
  <si>
    <t>業務外従業員ﾊﾟｰﾄ・ｱﾙﾊﾞｲﾄ・期間従業員・受入出向者本人</t>
    <phoneticPr fontId="1"/>
  </si>
  <si>
    <t>ﾊﾟｰﾄ・ｱﾙﾊﾞｲﾄ・期間従業員・受入出向者</t>
    <rPh sb="12" eb="14">
      <t>キカン</t>
    </rPh>
    <rPh sb="14" eb="17">
      <t>ジュウギョウイン</t>
    </rPh>
    <rPh sb="18" eb="20">
      <t>ウケイレ</t>
    </rPh>
    <rPh sb="20" eb="23">
      <t>シュッコウシャ</t>
    </rPh>
    <phoneticPr fontId="2"/>
  </si>
  <si>
    <t>業務外従業員ﾊﾟｰﾄ・ｱﾙﾊﾞｲﾄ・期間従業員・受入出向者配偶者</t>
    <phoneticPr fontId="1"/>
  </si>
  <si>
    <t>業務外従業員ﾊﾟｰﾄ・ｱﾙﾊﾞｲﾄ・期間従業員・受入出向者子供</t>
    <phoneticPr fontId="1"/>
  </si>
  <si>
    <t>業務外従業員ﾊﾟｰﾄ・ｱﾙﾊﾞｲﾄ・期間従業員・受入出向者実父母</t>
    <phoneticPr fontId="1"/>
  </si>
  <si>
    <t>業務外従業員ﾊﾟｰﾄ・ｱﾙﾊﾞｲﾄ・期間従業員・受入出向者義父母</t>
    <phoneticPr fontId="1"/>
  </si>
  <si>
    <t>業務上従業員幹部職本人</t>
  </si>
  <si>
    <t>業務上</t>
    <rPh sb="0" eb="3">
      <t>ギョウムジョウ</t>
    </rPh>
    <phoneticPr fontId="2"/>
  </si>
  <si>
    <t>個別設定</t>
  </si>
  <si>
    <t>業務上従業員基幹職本人</t>
  </si>
  <si>
    <t>業務上従業員主任職・CX級本人</t>
  </si>
  <si>
    <t>業務上従業員指導職・SX級・EX級・業務職S･1級本人</t>
  </si>
  <si>
    <t>業務上従業員中堅/初級/基礎技能職・担当事技職・業務職2･3級・準社員本人</t>
    <phoneticPr fontId="1"/>
  </si>
  <si>
    <t>中堅/初級/基礎技能職・担当事技職・業務職2･3級・準社員</t>
    <rPh sb="0" eb="2">
      <t>チュウケン</t>
    </rPh>
    <rPh sb="3" eb="5">
      <t>ショキュウ</t>
    </rPh>
    <rPh sb="6" eb="8">
      <t>キソ</t>
    </rPh>
    <rPh sb="8" eb="10">
      <t>ギノウ</t>
    </rPh>
    <rPh sb="10" eb="11">
      <t>ショク</t>
    </rPh>
    <rPh sb="12" eb="14">
      <t>タントウ</t>
    </rPh>
    <rPh sb="14" eb="16">
      <t>ジギ</t>
    </rPh>
    <rPh sb="16" eb="17">
      <t>ショク</t>
    </rPh>
    <rPh sb="18" eb="20">
      <t>ギョウム</t>
    </rPh>
    <rPh sb="20" eb="21">
      <t>ショク</t>
    </rPh>
    <rPh sb="24" eb="25">
      <t>キュウ</t>
    </rPh>
    <rPh sb="26" eb="29">
      <t>ジュンシャイン</t>
    </rPh>
    <phoneticPr fontId="2"/>
  </si>
  <si>
    <t>業務上従業員常勤・非常勤嘱託本人</t>
  </si>
  <si>
    <t>業務上従業員学園生（専門部含）本人</t>
  </si>
  <si>
    <t>業務上従業員ﾊﾟｰﾄ・ｱﾙﾊﾞｲﾄ・期間従業員・受入出向者本人</t>
    <phoneticPr fontId="1"/>
  </si>
  <si>
    <t>業務外元従業員(退職後3ヶ月以上)幹部職本人</t>
  </si>
  <si>
    <t>幹部職</t>
    <rPh sb="0" eb="2">
      <t>カンブ</t>
    </rPh>
    <rPh sb="2" eb="3">
      <t>ショク</t>
    </rPh>
    <phoneticPr fontId="2"/>
  </si>
  <si>
    <t>業務外元従業員(退職後3ヶ月以上)基幹職本人</t>
  </si>
  <si>
    <t>業務外元従業員(退職後3ヶ月以上)主任職・CX級本人</t>
  </si>
  <si>
    <t>業務外元従業員(退職後3ヶ月以上)指導職・SX級・EX級・業務職S･1級本人</t>
  </si>
  <si>
    <t>業務外元従業員(退職後3ヶ月以上)中堅/初級/基礎技能職・担当事技職・業務職2･3級・準社員本人</t>
    <phoneticPr fontId="1"/>
  </si>
  <si>
    <t>業務外元従業員(退職後3ヶ月以上)常勤・非常勤嘱託本人</t>
  </si>
  <si>
    <t>業務外元従業員(退職後3ヶ月以上)学園生（専門部含）本人</t>
  </si>
  <si>
    <t>業務外元従業員(退職後3ヶ月以上)ﾊﾟｰﾄ・ｱﾙﾊﾞｲﾄ・期間従業員・受入出向者本人</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</si>
</sst>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_(* #,##0_);_(* \(#,##0\);_(* &quot;-&quot;_);_(@_)"/>
    <numFmt numFmtId="177" formatCode="#,##0_ "/>
    <numFmt numFmtId="178" formatCode="#"/>
    <numFmt numFmtId="179" formatCode="[$-F800]dddd\,\ mmmm\ dd\,\ yyyy"/>
    <numFmt numFmtId="180" formatCode="&quot;$&quot;#,##0_);[Red]\(&quot;$&quot;#,##0\)"/>
    <numFmt numFmtId="181" formatCode="&quot;$&quot;#,##0.00_);[Red]\(&quot;$&quot;#,##0.00\)"/>
    <numFmt numFmtId="182" formatCode="\C&quot;$&quot;#,###"/>
    <numFmt numFmtId="183" formatCode="#,##0;[Red]#,##0"/>
    <numFmt numFmtId="184" formatCode="0;[Red]0"/>
  </numFmts>
  <fonts count="125">
    <font>
      <sz val="11"/>
      <color theme="1"/>
      <name val="游ゴシック"/>
      <family val="2"/>
      <charset val="128"/>
      <scheme val="minor"/>
    </font>
    <font>
      <sz val="6"/>
      <name val="游ゴシック"/>
      <family val="2"/>
      <charset val="128"/>
      <scheme val="minor"/>
    </font>
    <font>
      <sz val="6"/>
      <name val="游ゴシック"/>
      <family val="3"/>
      <charset val="128"/>
      <scheme val="minor"/>
    </font>
    <font>
      <u/>
      <sz val="11"/>
      <color theme="10"/>
      <name val="游ゴシック"/>
      <family val="2"/>
      <charset val="128"/>
      <scheme val="minor"/>
    </font>
    <font>
      <b/>
      <sz val="9"/>
      <color indexed="81"/>
      <name val="MS P ゴシック"/>
      <family val="3"/>
      <charset val="128"/>
    </font>
    <font>
      <sz val="8"/>
      <color theme="1"/>
      <name val="Meiryo UI"/>
      <family val="3"/>
      <charset val="128"/>
    </font>
    <font>
      <sz val="11"/>
      <color theme="0"/>
      <name val="游ゴシック"/>
      <family val="2"/>
      <charset val="128"/>
      <scheme val="minor"/>
    </font>
    <font>
      <sz val="10"/>
      <color theme="1"/>
      <name val="游ゴシック"/>
      <family val="2"/>
      <charset val="128"/>
      <scheme val="minor"/>
    </font>
    <font>
      <sz val="11"/>
      <color theme="1"/>
      <name val="BIZ UDPゴシック"/>
      <family val="3"/>
      <charset val="128"/>
    </font>
    <font>
      <sz val="10"/>
      <color theme="1"/>
      <name val="BIZ UDPゴシック"/>
      <family val="3"/>
      <charset val="128"/>
    </font>
    <font>
      <sz val="9"/>
      <color theme="1"/>
      <name val="BIZ UDPゴシック"/>
      <family val="3"/>
      <charset val="128"/>
    </font>
    <font>
      <sz val="8"/>
      <color theme="1"/>
      <name val="BIZ UDPゴシック"/>
      <family val="3"/>
      <charset val="128"/>
    </font>
    <font>
      <b/>
      <sz val="11"/>
      <color theme="1"/>
      <name val="BIZ UDPゴシック"/>
      <family val="3"/>
      <charset val="128"/>
    </font>
    <font>
      <u/>
      <sz val="11"/>
      <color theme="10"/>
      <name val="BIZ UDPゴシック"/>
      <family val="3"/>
      <charset val="128"/>
    </font>
    <font>
      <b/>
      <u/>
      <sz val="12"/>
      <color theme="1"/>
      <name val="游ゴシック"/>
      <family val="3"/>
      <charset val="128"/>
      <scheme val="minor"/>
    </font>
    <font>
      <b/>
      <u/>
      <sz val="14"/>
      <color theme="1"/>
      <name val="游ゴシック"/>
      <family val="3"/>
      <charset val="128"/>
      <scheme val="minor"/>
    </font>
    <font>
      <sz val="11"/>
      <name val="游ゴシック"/>
      <family val="2"/>
      <charset val="128"/>
      <scheme val="minor"/>
    </font>
    <font>
      <sz val="10"/>
      <color theme="0"/>
      <name val="游ゴシック"/>
      <family val="2"/>
      <charset val="128"/>
      <scheme val="minor"/>
    </font>
    <font>
      <sz val="6"/>
      <color theme="0"/>
      <name val="游ゴシック"/>
      <family val="2"/>
      <charset val="128"/>
      <scheme val="minor"/>
    </font>
    <font>
      <sz val="6"/>
      <color theme="0"/>
      <name val="Meiryo UI"/>
      <family val="3"/>
      <charset val="128"/>
    </font>
    <font>
      <sz val="10"/>
      <name val="游ゴシック"/>
      <family val="3"/>
      <charset val="128"/>
      <scheme val="minor"/>
    </font>
    <font>
      <sz val="11"/>
      <color theme="1"/>
      <name val="游ゴシック"/>
      <family val="2"/>
      <charset val="128"/>
      <scheme val="minor"/>
    </font>
    <font>
      <sz val="9"/>
      <color theme="1"/>
      <name val="游ゴシック"/>
      <family val="2"/>
      <charset val="128"/>
      <scheme val="minor"/>
    </font>
    <font>
      <b/>
      <sz val="8"/>
      <color theme="1"/>
      <name val="BIZ UDPゴシック"/>
      <family val="3"/>
      <charset val="128"/>
    </font>
    <font>
      <sz val="6"/>
      <color theme="1"/>
      <name val="BIZ UDPゴシック"/>
      <family val="3"/>
      <charset val="128"/>
    </font>
    <font>
      <sz val="11"/>
      <name val="BIZ UDPゴシック"/>
      <family val="3"/>
      <charset val="128"/>
    </font>
    <font>
      <sz val="12"/>
      <color theme="1"/>
      <name val="BIZ UDPゴシック"/>
      <family val="3"/>
      <charset val="128"/>
    </font>
    <font>
      <sz val="14"/>
      <color theme="1"/>
      <name val="BIZ UDPゴシック"/>
      <family val="3"/>
      <charset val="128"/>
    </font>
    <font>
      <sz val="11"/>
      <color theme="9"/>
      <name val="游ゴシック"/>
      <family val="2"/>
      <charset val="128"/>
      <scheme val="minor"/>
    </font>
    <font>
      <sz val="11"/>
      <color theme="2" tint="-0.249977111117893"/>
      <name val="BIZ UDPゴシック"/>
      <family val="3"/>
      <charset val="128"/>
    </font>
    <font>
      <sz val="11"/>
      <name val="明朝"/>
      <family val="1"/>
      <charset val="128"/>
    </font>
    <font>
      <sz val="6"/>
      <name val="明朝"/>
      <family val="3"/>
      <charset val="128"/>
    </font>
    <font>
      <b/>
      <i/>
      <sz val="18"/>
      <color theme="1"/>
      <name val="BIZ UDPゴシック"/>
      <family val="3"/>
      <charset val="128"/>
    </font>
    <font>
      <sz val="11"/>
      <color rgb="FFFF0000"/>
      <name val="BIZ UDPゴシック"/>
      <family val="3"/>
      <charset val="128"/>
    </font>
    <font>
      <sz val="16"/>
      <color theme="1"/>
      <name val="BIZ UDPゴシック"/>
      <family val="3"/>
      <charset val="128"/>
    </font>
    <font>
      <sz val="9"/>
      <name val="BIZ UDPゴシック"/>
      <family val="3"/>
      <charset val="128"/>
    </font>
    <font>
      <b/>
      <sz val="14"/>
      <name val="BIZ UDPゴシック"/>
      <family val="3"/>
      <charset val="128"/>
    </font>
    <font>
      <sz val="14"/>
      <name val="BIZ UDPゴシック"/>
      <family val="3"/>
      <charset val="128"/>
    </font>
    <font>
      <b/>
      <sz val="16"/>
      <color theme="1"/>
      <name val="BIZ UDPゴシック"/>
      <family val="3"/>
      <charset val="128"/>
    </font>
    <font>
      <sz val="9"/>
      <color indexed="10"/>
      <name val="BIZ UDPゴシック"/>
      <family val="3"/>
      <charset val="128"/>
    </font>
    <font>
      <sz val="14"/>
      <color indexed="8"/>
      <name val="BIZ UDPゴシック"/>
      <family val="3"/>
      <charset val="128"/>
    </font>
    <font>
      <b/>
      <sz val="16"/>
      <color indexed="10"/>
      <name val="BIZ UDPゴシック"/>
      <family val="3"/>
      <charset val="128"/>
    </font>
    <font>
      <b/>
      <sz val="18"/>
      <color rgb="FFFF0000"/>
      <name val="BIZ UDPゴシック"/>
      <family val="3"/>
      <charset val="128"/>
    </font>
    <font>
      <b/>
      <sz val="18"/>
      <name val="BIZ UDPゴシック"/>
      <family val="3"/>
      <charset val="128"/>
    </font>
    <font>
      <sz val="14"/>
      <color indexed="10"/>
      <name val="BIZ UDPゴシック"/>
      <family val="3"/>
      <charset val="128"/>
    </font>
    <font>
      <sz val="18"/>
      <color rgb="FFFF0000"/>
      <name val="BIZ UDPゴシック"/>
      <family val="3"/>
      <charset val="128"/>
    </font>
    <font>
      <sz val="16"/>
      <name val="BIZ UDPゴシック"/>
      <family val="3"/>
      <charset val="128"/>
    </font>
    <font>
      <sz val="14"/>
      <color rgb="FFFF0000"/>
      <name val="BIZ UDPゴシック"/>
      <family val="3"/>
      <charset val="128"/>
    </font>
    <font>
      <b/>
      <sz val="14"/>
      <color theme="1"/>
      <name val="BIZ UDPゴシック"/>
      <family val="3"/>
      <charset val="128"/>
    </font>
    <font>
      <sz val="11"/>
      <name val="明朝"/>
      <family val="3"/>
      <charset val="128"/>
    </font>
    <font>
      <sz val="11"/>
      <name val="ＭＳ Ｐゴシック"/>
      <family val="3"/>
      <charset val="128"/>
    </font>
    <font>
      <sz val="8"/>
      <name val="ＭＳ Ｐゴシック"/>
      <family val="3"/>
      <charset val="128"/>
    </font>
    <font>
      <sz val="6"/>
      <name val="ＭＳ Ｐゴシック"/>
      <family val="3"/>
      <charset val="128"/>
    </font>
    <font>
      <sz val="22"/>
      <color indexed="8"/>
      <name val="ＭＳ 明朝"/>
      <family val="1"/>
      <charset val="128"/>
    </font>
    <font>
      <sz val="10"/>
      <name val="ＭＳ ゴシック"/>
      <family val="3"/>
      <charset val="128"/>
    </font>
    <font>
      <sz val="8"/>
      <name val="Arial"/>
      <family val="2"/>
    </font>
    <font>
      <b/>
      <sz val="12"/>
      <name val="Arial"/>
      <family val="2"/>
    </font>
    <font>
      <sz val="10"/>
      <name val="MS Sans Serif"/>
      <family val="2"/>
    </font>
    <font>
      <sz val="10"/>
      <name val="Arial"/>
      <family val="2"/>
    </font>
    <font>
      <sz val="10"/>
      <color rgb="FF000000"/>
      <name val="Times New Roman"/>
      <family val="1"/>
    </font>
    <font>
      <b/>
      <sz val="22"/>
      <color theme="1"/>
      <name val="BIZ UDPゴシック"/>
      <family val="3"/>
      <charset val="128"/>
    </font>
    <font>
      <b/>
      <sz val="16"/>
      <name val="BIZ UDPゴシック"/>
      <family val="3"/>
      <charset val="128"/>
    </font>
    <font>
      <b/>
      <sz val="16"/>
      <color theme="1"/>
      <name val="游ゴシック"/>
      <family val="3"/>
      <charset val="128"/>
      <scheme val="minor"/>
    </font>
    <font>
      <sz val="11"/>
      <color theme="1"/>
      <name val="游ゴシック"/>
      <family val="3"/>
      <charset val="128"/>
      <scheme val="minor"/>
    </font>
    <font>
      <b/>
      <u/>
      <sz val="11"/>
      <color theme="1"/>
      <name val="游ゴシック"/>
      <family val="3"/>
      <charset val="128"/>
      <scheme val="minor"/>
    </font>
    <font>
      <b/>
      <sz val="16"/>
      <color indexed="8"/>
      <name val="游ゴシック"/>
      <family val="3"/>
      <charset val="128"/>
      <scheme val="minor"/>
    </font>
    <font>
      <sz val="11"/>
      <color indexed="8"/>
      <name val="BIZ UDPゴシック"/>
      <family val="3"/>
      <charset val="128"/>
    </font>
    <font>
      <sz val="6"/>
      <color theme="2"/>
      <name val="BIZ UDPゴシック"/>
      <family val="3"/>
      <charset val="128"/>
    </font>
    <font>
      <sz val="6"/>
      <color theme="1"/>
      <name val="游ゴシック"/>
      <family val="2"/>
      <charset val="128"/>
      <scheme val="minor"/>
    </font>
    <font>
      <sz val="6"/>
      <color theme="1"/>
      <name val="游ゴシック"/>
      <family val="3"/>
      <charset val="128"/>
      <scheme val="minor"/>
    </font>
    <font>
      <b/>
      <u/>
      <sz val="11"/>
      <color theme="10"/>
      <name val="游ゴシック"/>
      <family val="3"/>
      <charset val="128"/>
      <scheme val="minor"/>
    </font>
    <font>
      <sz val="10"/>
      <color rgb="FFFF0000"/>
      <name val="BIZ UDPゴシック"/>
      <family val="3"/>
      <charset val="128"/>
    </font>
    <font>
      <b/>
      <sz val="10"/>
      <color theme="1"/>
      <name val="BIZ UDPゴシック"/>
      <family val="3"/>
      <charset val="128"/>
    </font>
    <font>
      <b/>
      <sz val="10"/>
      <color rgb="FF000000"/>
      <name val="BIZ UDPゴシック"/>
      <family val="3"/>
      <charset val="128"/>
    </font>
    <font>
      <sz val="6"/>
      <color theme="9" tint="0.59999389629810485"/>
      <name val="BIZ UDPゴシック"/>
      <family val="3"/>
      <charset val="128"/>
    </font>
    <font>
      <sz val="10"/>
      <name val="BIZ UDPゴシック"/>
      <family val="3"/>
      <charset val="128"/>
    </font>
    <font>
      <u/>
      <sz val="10"/>
      <color theme="10"/>
      <name val="BIZ UDPゴシック"/>
      <family val="3"/>
      <charset val="128"/>
    </font>
    <font>
      <b/>
      <sz val="12"/>
      <color rgb="FFFF0000"/>
      <name val="BIZ UDPゴシック"/>
      <family val="3"/>
      <charset val="128"/>
    </font>
    <font>
      <sz val="10"/>
      <color rgb="FF000000"/>
      <name val="BIZ UDPゴシック"/>
      <family val="3"/>
      <charset val="128"/>
    </font>
    <font>
      <sz val="11"/>
      <color rgb="FFC9C9CE"/>
      <name val="BIZ UDPゴシック"/>
      <family val="3"/>
      <charset val="128"/>
    </font>
    <font>
      <b/>
      <sz val="14"/>
      <color rgb="FFFF0000"/>
      <name val="BIZ UDPゴシック"/>
      <family val="3"/>
      <charset val="128"/>
    </font>
    <font>
      <sz val="12"/>
      <color theme="1"/>
      <name val="HGPｺﾞｼｯｸE"/>
      <family val="3"/>
      <charset val="128"/>
    </font>
    <font>
      <sz val="11"/>
      <color theme="1"/>
      <name val="HGPｺﾞｼｯｸE"/>
      <family val="3"/>
      <charset val="128"/>
    </font>
    <font>
      <b/>
      <sz val="11"/>
      <color theme="1"/>
      <name val="HGPｺﾞｼｯｸE"/>
      <family val="3"/>
      <charset val="128"/>
    </font>
    <font>
      <sz val="11"/>
      <name val="HGPｺﾞｼｯｸM"/>
      <family val="3"/>
      <charset val="128"/>
    </font>
    <font>
      <sz val="10"/>
      <color indexed="63"/>
      <name val="HGPｺﾞｼｯｸM"/>
      <family val="3"/>
      <charset val="128"/>
    </font>
    <font>
      <b/>
      <sz val="10"/>
      <color indexed="10"/>
      <name val="HGPｺﾞｼｯｸM"/>
      <family val="3"/>
      <charset val="128"/>
    </font>
    <font>
      <b/>
      <sz val="20"/>
      <name val="HGPｺﾞｼｯｸM"/>
      <family val="3"/>
      <charset val="128"/>
    </font>
    <font>
      <sz val="11"/>
      <color theme="1"/>
      <name val="HGPｺﾞｼｯｸM"/>
      <family val="3"/>
      <charset val="128"/>
    </font>
    <font>
      <sz val="10"/>
      <name val="HGPｺﾞｼｯｸM"/>
      <family val="3"/>
      <charset val="128"/>
    </font>
    <font>
      <b/>
      <sz val="18"/>
      <color rgb="FFFF0000"/>
      <name val="HGPｺﾞｼｯｸM"/>
      <family val="3"/>
      <charset val="128"/>
    </font>
    <font>
      <sz val="14"/>
      <name val="HGPｺﾞｼｯｸM"/>
      <family val="3"/>
      <charset val="128"/>
    </font>
    <font>
      <b/>
      <sz val="12"/>
      <color rgb="FFFF0000"/>
      <name val="HGPｺﾞｼｯｸM"/>
      <family val="3"/>
      <charset val="128"/>
    </font>
    <font>
      <b/>
      <sz val="12"/>
      <name val="HGPｺﾞｼｯｸM"/>
      <family val="3"/>
      <charset val="128"/>
    </font>
    <font>
      <sz val="12"/>
      <name val="HGPｺﾞｼｯｸM"/>
      <family val="3"/>
      <charset val="128"/>
    </font>
    <font>
      <sz val="8"/>
      <name val="HGPｺﾞｼｯｸM"/>
      <family val="3"/>
      <charset val="128"/>
    </font>
    <font>
      <b/>
      <sz val="12"/>
      <color rgb="FF0000FF"/>
      <name val="HGPｺﾞｼｯｸM"/>
      <family val="3"/>
      <charset val="128"/>
    </font>
    <font>
      <sz val="16"/>
      <name val="HGPｺﾞｼｯｸM"/>
      <family val="3"/>
      <charset val="128"/>
    </font>
    <font>
      <sz val="12"/>
      <color indexed="8"/>
      <name val="HGPｺﾞｼｯｸM"/>
      <family val="3"/>
      <charset val="128"/>
    </font>
    <font>
      <sz val="22"/>
      <color indexed="12"/>
      <name val="HGPｺﾞｼｯｸM"/>
      <family val="3"/>
      <charset val="128"/>
    </font>
    <font>
      <sz val="10"/>
      <color indexed="8"/>
      <name val="HGPｺﾞｼｯｸM"/>
      <family val="3"/>
      <charset val="128"/>
    </font>
    <font>
      <sz val="20"/>
      <color rgb="FF0000FF"/>
      <name val="HGPｺﾞｼｯｸM"/>
      <family val="3"/>
      <charset val="128"/>
    </font>
    <font>
      <sz val="8"/>
      <color indexed="8"/>
      <name val="HGPｺﾞｼｯｸM"/>
      <family val="3"/>
      <charset val="128"/>
    </font>
    <font>
      <sz val="7"/>
      <name val="HGPｺﾞｼｯｸM"/>
      <family val="3"/>
      <charset val="128"/>
    </font>
    <font>
      <b/>
      <sz val="22"/>
      <name val="HGPｺﾞｼｯｸM"/>
      <family val="3"/>
      <charset val="128"/>
    </font>
    <font>
      <sz val="11"/>
      <color indexed="8"/>
      <name val="HGPｺﾞｼｯｸM"/>
      <family val="3"/>
      <charset val="128"/>
    </font>
    <font>
      <sz val="16"/>
      <color indexed="12"/>
      <name val="HGPｺﾞｼｯｸM"/>
      <family val="3"/>
      <charset val="128"/>
    </font>
    <font>
      <b/>
      <sz val="16"/>
      <name val="HGPｺﾞｼｯｸM"/>
      <family val="3"/>
      <charset val="128"/>
    </font>
    <font>
      <sz val="23"/>
      <color indexed="8"/>
      <name val="HGPｺﾞｼｯｸM"/>
      <family val="3"/>
      <charset val="128"/>
    </font>
    <font>
      <sz val="16"/>
      <color rgb="FF0000FF"/>
      <name val="HGPｺﾞｼｯｸM"/>
      <family val="3"/>
      <charset val="128"/>
    </font>
    <font>
      <sz val="11"/>
      <color rgb="FFC9C9CE"/>
      <name val="HGPｺﾞｼｯｸM"/>
      <family val="3"/>
      <charset val="128"/>
    </font>
    <font>
      <sz val="6"/>
      <name val="HGPｺﾞｼｯｸM"/>
      <family val="3"/>
      <charset val="128"/>
    </font>
    <font>
      <b/>
      <sz val="11"/>
      <color rgb="FFFF0000"/>
      <name val="BIZ UDPゴシック"/>
      <family val="3"/>
      <charset val="128"/>
    </font>
    <font>
      <b/>
      <sz val="14"/>
      <name val="HGPｺﾞｼｯｸM"/>
      <family val="3"/>
      <charset val="128"/>
    </font>
    <font>
      <sz val="11"/>
      <color rgb="FFFF0000"/>
      <name val="HGPｺﾞｼｯｸM"/>
      <family val="3"/>
      <charset val="128"/>
    </font>
    <font>
      <sz val="9"/>
      <color indexed="81"/>
      <name val="MS P ゴシック"/>
      <family val="3"/>
      <charset val="128"/>
    </font>
    <font>
      <sz val="11"/>
      <name val="游ゴシック"/>
      <family val="3"/>
      <charset val="128"/>
      <scheme val="minor"/>
    </font>
    <font>
      <sz val="10"/>
      <color theme="1" tint="0.499984740745262"/>
      <name val="BIZ UDPゴシック"/>
      <family val="3"/>
      <charset val="128"/>
    </font>
    <font>
      <sz val="8"/>
      <color theme="1" tint="0.499984740745262"/>
      <name val="BIZ UDPゴシック"/>
      <family val="3"/>
      <charset val="128"/>
    </font>
    <font>
      <b/>
      <sz val="18"/>
      <color theme="1"/>
      <name val="BIZ UDPゴシック"/>
      <family val="3"/>
      <charset val="128"/>
    </font>
    <font>
      <sz val="11"/>
      <color theme="1" tint="0.499984740745262"/>
      <name val="HGPｺﾞｼｯｸM"/>
      <family val="3"/>
      <charset val="128"/>
    </font>
    <font>
      <sz val="10.5"/>
      <color theme="1" tint="0.499984740745262"/>
      <name val="HGPｺﾞｼｯｸM"/>
      <family val="3"/>
      <charset val="128"/>
    </font>
    <font>
      <sz val="8"/>
      <color theme="1" tint="0.499984740745262"/>
      <name val="HGPｺﾞｼｯｸM"/>
      <family val="3"/>
      <charset val="128"/>
    </font>
    <font>
      <sz val="8"/>
      <name val="BIZ UDPゴシック"/>
      <family val="3"/>
      <charset val="128"/>
    </font>
    <font>
      <sz val="11"/>
      <color theme="9"/>
      <name val="游ゴシック"/>
      <family val="3"/>
      <charset val="128"/>
      <scheme val="minor"/>
    </font>
  </fonts>
  <fills count="30">
    <fill>
      <patternFill patternType="none"/>
    </fill>
    <fill>
      <patternFill patternType="gray125"/>
    </fill>
    <fill>
      <patternFill patternType="solid">
        <fgColor theme="8" tint="0.7999816888943144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rgb="FFEAEAEA"/>
        <bgColor indexed="64"/>
      </patternFill>
    </fill>
    <fill>
      <patternFill patternType="solid">
        <fgColor indexed="22"/>
        <bgColor indexed="64"/>
      </patternFill>
    </fill>
    <fill>
      <patternFill patternType="solid">
        <fgColor indexed="26"/>
        <bgColor indexed="64"/>
      </patternFill>
    </fill>
    <fill>
      <patternFill patternType="solid">
        <fgColor theme="8" tint="0.59999389629810485"/>
        <bgColor indexed="64"/>
      </patternFill>
    </fill>
    <fill>
      <patternFill patternType="solid">
        <fgColor rgb="FFFFFFFF"/>
        <bgColor indexed="64"/>
      </patternFill>
    </fill>
    <fill>
      <patternFill patternType="solid">
        <fgColor rgb="FFC9C9C9"/>
        <bgColor indexed="64"/>
      </patternFill>
    </fill>
    <fill>
      <patternFill patternType="solid">
        <fgColor rgb="FFD0CECE"/>
        <bgColor indexed="64"/>
      </patternFill>
    </fill>
    <fill>
      <patternFill patternType="solid">
        <fgColor rgb="FFFCE4D6"/>
        <bgColor indexed="64"/>
      </patternFill>
    </fill>
    <fill>
      <patternFill patternType="solid">
        <fgColor theme="0" tint="-4.9989318521683403E-2"/>
        <bgColor indexed="64"/>
      </patternFill>
    </fill>
    <fill>
      <patternFill patternType="solid">
        <fgColor rgb="FFE2EFD9"/>
        <bgColor indexed="64"/>
      </patternFill>
    </fill>
  </fills>
  <borders count="8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dashed">
        <color indexed="64"/>
      </top>
      <bottom/>
      <diagonal/>
    </border>
    <border>
      <left/>
      <right style="thin">
        <color indexed="64"/>
      </right>
      <top style="dashed">
        <color indexed="64"/>
      </top>
      <bottom/>
      <diagonal/>
    </border>
    <border>
      <left style="thin">
        <color indexed="64"/>
      </left>
      <right/>
      <top style="hair">
        <color indexed="64"/>
      </top>
      <bottom style="hair">
        <color indexed="64"/>
      </bottom>
      <diagonal/>
    </border>
    <border>
      <left style="thin">
        <color indexed="64"/>
      </left>
      <right/>
      <top style="dashed">
        <color indexed="64"/>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right style="thin">
        <color auto="1"/>
      </right>
      <top/>
      <bottom style="hair">
        <color auto="1"/>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ck">
        <color indexed="64"/>
      </top>
      <bottom/>
      <diagonal/>
    </border>
    <border>
      <left/>
      <right/>
      <top style="thick">
        <color indexed="64"/>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s>
  <cellStyleXfs count="23">
    <xf numFmtId="0" fontId="0" fillId="0" borderId="0">
      <alignment vertical="center"/>
    </xf>
    <xf numFmtId="0" fontId="3" fillId="0" borderId="0" applyNumberFormat="0" applyFill="0" applyBorder="0" applyAlignment="0" applyProtection="0">
      <alignment vertical="center"/>
    </xf>
    <xf numFmtId="38" fontId="21" fillId="0" borderId="0" applyFont="0" applyFill="0" applyBorder="0" applyAlignment="0" applyProtection="0">
      <alignment vertical="center"/>
    </xf>
    <xf numFmtId="0" fontId="30" fillId="0" borderId="0"/>
    <xf numFmtId="0" fontId="49" fillId="0" borderId="0"/>
    <xf numFmtId="179" fontId="50" fillId="0" borderId="0"/>
    <xf numFmtId="176" fontId="30" fillId="0" borderId="0" applyFill="0" applyBorder="0" applyAlignment="0"/>
    <xf numFmtId="38" fontId="55" fillId="21" borderId="0" applyNumberFormat="0" applyBorder="0" applyAlignment="0" applyProtection="0"/>
    <xf numFmtId="0" fontId="56" fillId="0" borderId="7" applyNumberFormat="0" applyAlignment="0" applyProtection="0">
      <alignment horizontal="left" vertical="center"/>
    </xf>
    <xf numFmtId="0" fontId="56" fillId="0" borderId="18">
      <alignment horizontal="left" vertical="center"/>
    </xf>
    <xf numFmtId="10" fontId="55" fillId="22" borderId="29" applyNumberFormat="0" applyBorder="0" applyAlignment="0" applyProtection="0"/>
    <xf numFmtId="1" fontId="54" fillId="0" borderId="0" applyProtection="0">
      <protection locked="0"/>
    </xf>
    <xf numFmtId="38" fontId="57" fillId="0" borderId="0" applyFont="0" applyFill="0" applyBorder="0" applyAlignment="0" applyProtection="0"/>
    <xf numFmtId="40" fontId="57" fillId="0" borderId="0" applyFont="0" applyFill="0" applyBorder="0" applyAlignment="0" applyProtection="0"/>
    <xf numFmtId="180" fontId="57" fillId="0" borderId="0" applyFont="0" applyFill="0" applyBorder="0" applyAlignment="0" applyProtection="0"/>
    <xf numFmtId="181" fontId="57" fillId="0" borderId="0" applyFont="0" applyFill="0" applyBorder="0" applyAlignment="0" applyProtection="0"/>
    <xf numFmtId="182" fontId="30" fillId="0" borderId="0"/>
    <xf numFmtId="0" fontId="58" fillId="0" borderId="0"/>
    <xf numFmtId="10" fontId="58" fillId="0" borderId="0" applyFont="0" applyFill="0" applyBorder="0" applyAlignment="0" applyProtection="0"/>
    <xf numFmtId="0" fontId="50" fillId="0" borderId="0">
      <alignment vertical="center"/>
    </xf>
    <xf numFmtId="0" fontId="50" fillId="0" borderId="0"/>
    <xf numFmtId="0" fontId="50" fillId="0" borderId="0"/>
    <xf numFmtId="0" fontId="59" fillId="0" borderId="0"/>
  </cellStyleXfs>
  <cellXfs count="644">
    <xf numFmtId="0" fontId="0" fillId="0" borderId="0" xfId="0">
      <alignment vertical="center"/>
    </xf>
    <xf numFmtId="0" fontId="0" fillId="8" borderId="0" xfId="0" applyFill="1">
      <alignment vertical="center"/>
    </xf>
    <xf numFmtId="0" fontId="0" fillId="0" borderId="0" xfId="0" applyAlignment="1">
      <alignment horizontal="center" vertical="center"/>
    </xf>
    <xf numFmtId="0" fontId="0" fillId="8" borderId="0" xfId="0" applyFill="1" applyAlignment="1">
      <alignment vertical="center" wrapText="1"/>
    </xf>
    <xf numFmtId="0" fontId="0" fillId="2" borderId="0" xfId="0" applyFill="1">
      <alignment vertical="center"/>
    </xf>
    <xf numFmtId="0" fontId="8" fillId="0" borderId="0" xfId="0" applyFont="1">
      <alignment vertical="center"/>
    </xf>
    <xf numFmtId="0" fontId="0" fillId="0" borderId="0" xfId="0" quotePrefix="1">
      <alignment vertical="center"/>
    </xf>
    <xf numFmtId="0" fontId="14" fillId="0" borderId="0" xfId="0" applyFont="1">
      <alignment vertical="center"/>
    </xf>
    <xf numFmtId="0" fontId="15" fillId="0" borderId="0" xfId="0" applyFont="1">
      <alignment vertical="center"/>
    </xf>
    <xf numFmtId="0" fontId="7" fillId="0" borderId="0" xfId="0" applyFont="1">
      <alignment vertical="center"/>
    </xf>
    <xf numFmtId="0" fontId="6" fillId="14" borderId="29" xfId="0" applyFont="1" applyFill="1" applyBorder="1">
      <alignment vertical="center"/>
    </xf>
    <xf numFmtId="0" fontId="17" fillId="14" borderId="29" xfId="0" applyFont="1" applyFill="1" applyBorder="1">
      <alignment vertical="center"/>
    </xf>
    <xf numFmtId="0" fontId="16" fillId="18" borderId="29" xfId="0" applyFont="1" applyFill="1" applyBorder="1">
      <alignment vertical="center"/>
    </xf>
    <xf numFmtId="0" fontId="22" fillId="0" borderId="0" xfId="0" applyFont="1" applyAlignment="1">
      <alignment horizontal="left" vertical="center"/>
    </xf>
    <xf numFmtId="0" fontId="18" fillId="14" borderId="29" xfId="0" applyFont="1" applyFill="1" applyBorder="1" applyAlignment="1">
      <alignment vertical="center" wrapText="1"/>
    </xf>
    <xf numFmtId="0" fontId="28" fillId="0" borderId="0" xfId="0" applyFont="1">
      <alignment vertical="center"/>
    </xf>
    <xf numFmtId="0" fontId="8" fillId="0" borderId="0" xfId="3" applyFont="1"/>
    <xf numFmtId="0" fontId="32" fillId="0" borderId="0" xfId="3" applyFont="1"/>
    <xf numFmtId="0" fontId="27" fillId="0" borderId="0" xfId="3" applyFont="1"/>
    <xf numFmtId="0" fontId="25" fillId="0" borderId="0" xfId="3" applyFont="1"/>
    <xf numFmtId="0" fontId="25" fillId="0" borderId="0" xfId="3" applyFont="1" applyAlignment="1">
      <alignment vertical="center"/>
    </xf>
    <xf numFmtId="0" fontId="33" fillId="0" borderId="0" xfId="3" applyFont="1"/>
    <xf numFmtId="0" fontId="34" fillId="0" borderId="0" xfId="3" applyFont="1"/>
    <xf numFmtId="0" fontId="26" fillId="0" borderId="0" xfId="3" applyFont="1"/>
    <xf numFmtId="0" fontId="25" fillId="0" borderId="0" xfId="0" applyFont="1" applyAlignment="1"/>
    <xf numFmtId="0" fontId="25" fillId="0" borderId="45" xfId="0" applyFont="1" applyBorder="1" applyAlignment="1"/>
    <xf numFmtId="0" fontId="25" fillId="0" borderId="46" xfId="0" applyFont="1" applyBorder="1" applyAlignment="1"/>
    <xf numFmtId="0" fontId="36" fillId="0" borderId="47" xfId="0" applyFont="1" applyBorder="1" applyAlignment="1"/>
    <xf numFmtId="0" fontId="36" fillId="0" borderId="0" xfId="0" applyFont="1" applyAlignment="1"/>
    <xf numFmtId="0" fontId="36" fillId="0" borderId="0" xfId="0" applyFont="1" applyAlignment="1">
      <alignment horizontal="centerContinuous"/>
    </xf>
    <xf numFmtId="0" fontId="36" fillId="0" borderId="0" xfId="0" applyFont="1" applyAlignment="1">
      <alignment horizontal="left"/>
    </xf>
    <xf numFmtId="0" fontId="37" fillId="0" borderId="0" xfId="0" applyFont="1" applyAlignment="1"/>
    <xf numFmtId="0" fontId="25" fillId="0" borderId="48" xfId="0" applyFont="1" applyBorder="1" applyAlignment="1"/>
    <xf numFmtId="0" fontId="37" fillId="0" borderId="0" xfId="0" applyFont="1" applyAlignment="1">
      <alignment horizontal="centerContinuous"/>
    </xf>
    <xf numFmtId="0" fontId="37" fillId="0" borderId="49" xfId="0" applyFont="1" applyBorder="1" applyAlignment="1"/>
    <xf numFmtId="0" fontId="37" fillId="0" borderId="50" xfId="0" applyFont="1" applyBorder="1" applyAlignment="1"/>
    <xf numFmtId="0" fontId="25" fillId="0" borderId="50" xfId="0" applyFont="1" applyBorder="1" applyAlignment="1"/>
    <xf numFmtId="0" fontId="25" fillId="0" borderId="51" xfId="0" applyFont="1" applyBorder="1" applyAlignment="1"/>
    <xf numFmtId="0" fontId="37" fillId="0" borderId="45" xfId="0" applyFont="1" applyBorder="1" applyAlignment="1"/>
    <xf numFmtId="0" fontId="8" fillId="0" borderId="0" xfId="3" applyFont="1" applyAlignment="1">
      <alignment horizontal="centerContinuous"/>
    </xf>
    <xf numFmtId="0" fontId="38" fillId="0" borderId="0" xfId="3" applyFont="1"/>
    <xf numFmtId="0" fontId="10" fillId="0" borderId="0" xfId="3" applyFont="1"/>
    <xf numFmtId="0" fontId="10" fillId="0" borderId="0" xfId="3" applyFont="1" applyAlignment="1">
      <alignment horizontal="left"/>
    </xf>
    <xf numFmtId="0" fontId="27" fillId="0" borderId="0" xfId="3" applyFont="1" applyAlignment="1">
      <alignment horizontal="left"/>
    </xf>
    <xf numFmtId="0" fontId="38" fillId="0" borderId="0" xfId="3" applyFont="1" applyAlignment="1">
      <alignment wrapText="1"/>
    </xf>
    <xf numFmtId="0" fontId="26" fillId="0" borderId="0" xfId="3" applyFont="1" applyAlignment="1">
      <alignment horizontal="left"/>
    </xf>
    <xf numFmtId="0" fontId="27" fillId="0" borderId="0" xfId="3" applyFont="1" applyAlignment="1">
      <alignment horizontal="center"/>
    </xf>
    <xf numFmtId="0" fontId="39" fillId="0" borderId="0" xfId="3" applyFont="1"/>
    <xf numFmtId="0" fontId="37" fillId="0" borderId="0" xfId="3" applyFont="1" applyAlignment="1">
      <alignment horizontal="center"/>
    </xf>
    <xf numFmtId="0" fontId="40" fillId="0" borderId="0" xfId="3" applyFont="1"/>
    <xf numFmtId="0" fontId="41" fillId="0" borderId="0" xfId="3" applyFont="1" applyAlignment="1">
      <alignment wrapText="1"/>
    </xf>
    <xf numFmtId="0" fontId="42" fillId="0" borderId="0" xfId="3" applyFont="1"/>
    <xf numFmtId="0" fontId="43" fillId="0" borderId="0" xfId="3" applyFont="1"/>
    <xf numFmtId="0" fontId="44" fillId="0" borderId="0" xfId="3" applyFont="1"/>
    <xf numFmtId="0" fontId="45" fillId="0" borderId="0" xfId="3" applyFont="1" applyAlignment="1">
      <alignment horizontal="left"/>
    </xf>
    <xf numFmtId="0" fontId="46" fillId="0" borderId="0" xfId="3" applyFont="1" applyAlignment="1">
      <alignment horizontal="left"/>
    </xf>
    <xf numFmtId="0" fontId="37" fillId="0" borderId="0" xfId="3" applyFont="1"/>
    <xf numFmtId="0" fontId="36" fillId="0" borderId="0" xfId="3" applyFont="1"/>
    <xf numFmtId="0" fontId="37" fillId="0" borderId="0" xfId="3" applyFont="1" applyAlignment="1">
      <alignment horizontal="left"/>
    </xf>
    <xf numFmtId="0" fontId="37" fillId="0" borderId="0" xfId="3" quotePrefix="1" applyFont="1" applyAlignment="1">
      <alignment horizontal="center"/>
    </xf>
    <xf numFmtId="0" fontId="47" fillId="0" borderId="0" xfId="3" applyFont="1"/>
    <xf numFmtId="0" fontId="46" fillId="0" borderId="0" xfId="3" applyFont="1"/>
    <xf numFmtId="0" fontId="25" fillId="0" borderId="0" xfId="3" quotePrefix="1" applyFont="1" applyAlignment="1">
      <alignment horizontal="left"/>
    </xf>
    <xf numFmtId="0" fontId="34" fillId="7" borderId="0" xfId="3" applyFont="1" applyFill="1"/>
    <xf numFmtId="0" fontId="8" fillId="7" borderId="0" xfId="3" applyFont="1" applyFill="1"/>
    <xf numFmtId="0" fontId="8" fillId="7" borderId="0" xfId="3" quotePrefix="1" applyFont="1" applyFill="1" applyAlignment="1">
      <alignment horizontal="centerContinuous"/>
    </xf>
    <xf numFmtId="0" fontId="8" fillId="7" borderId="0" xfId="3" applyFont="1" applyFill="1" applyAlignment="1">
      <alignment horizontal="centerContinuous"/>
    </xf>
    <xf numFmtId="0" fontId="26" fillId="7" borderId="0" xfId="3" applyFont="1" applyFill="1"/>
    <xf numFmtId="0" fontId="9" fillId="7" borderId="0" xfId="3" applyFont="1" applyFill="1" applyAlignment="1">
      <alignment wrapText="1"/>
    </xf>
    <xf numFmtId="0" fontId="27" fillId="7" borderId="0" xfId="3" applyFont="1" applyFill="1" applyAlignment="1">
      <alignment horizontal="center"/>
    </xf>
    <xf numFmtId="0" fontId="37" fillId="7" borderId="0" xfId="3" applyFont="1" applyFill="1"/>
    <xf numFmtId="0" fontId="25" fillId="7" borderId="0" xfId="3" applyFont="1" applyFill="1"/>
    <xf numFmtId="0" fontId="37" fillId="7" borderId="0" xfId="3" applyFont="1" applyFill="1" applyAlignment="1">
      <alignment horizontal="center"/>
    </xf>
    <xf numFmtId="0" fontId="38" fillId="0" borderId="0" xfId="3" applyFont="1" applyAlignment="1">
      <alignment horizontal="centerContinuous"/>
    </xf>
    <xf numFmtId="0" fontId="34" fillId="0" borderId="0" xfId="3" applyFont="1" applyAlignment="1">
      <alignment horizontal="centerContinuous"/>
    </xf>
    <xf numFmtId="0" fontId="38" fillId="0" borderId="0" xfId="3" applyFont="1" applyAlignment="1">
      <alignment horizontal="left"/>
    </xf>
    <xf numFmtId="0" fontId="48" fillId="0" borderId="0" xfId="3" applyFont="1"/>
    <xf numFmtId="0" fontId="38" fillId="0" borderId="0" xfId="3" quotePrefix="1" applyFont="1" applyAlignment="1">
      <alignment horizontal="centerContinuous"/>
    </xf>
    <xf numFmtId="0" fontId="26" fillId="0" borderId="0" xfId="3" applyFont="1" applyAlignment="1">
      <alignment horizontal="right"/>
    </xf>
    <xf numFmtId="0" fontId="8" fillId="0" borderId="0" xfId="3" applyFont="1" applyAlignment="1">
      <alignment horizontal="right"/>
    </xf>
    <xf numFmtId="0" fontId="25" fillId="3" borderId="52" xfId="3" applyFont="1" applyFill="1" applyBorder="1"/>
    <xf numFmtId="0" fontId="25" fillId="7" borderId="53" xfId="3" applyFont="1" applyFill="1" applyBorder="1"/>
    <xf numFmtId="0" fontId="25" fillId="0" borderId="55" xfId="3" applyFont="1" applyBorder="1"/>
    <xf numFmtId="0" fontId="25" fillId="0" borderId="52" xfId="0" applyFont="1" applyBorder="1" applyAlignment="1"/>
    <xf numFmtId="0" fontId="25" fillId="0" borderId="26" xfId="0" applyFont="1" applyBorder="1" applyAlignment="1"/>
    <xf numFmtId="0" fontId="36" fillId="0" borderId="44" xfId="0" applyFont="1" applyBorder="1" applyAlignment="1"/>
    <xf numFmtId="0" fontId="36" fillId="0" borderId="45" xfId="0" applyFont="1" applyBorder="1" applyAlignment="1"/>
    <xf numFmtId="0" fontId="36" fillId="0" borderId="45" xfId="0" applyFont="1" applyBorder="1" applyAlignment="1">
      <alignment horizontal="centerContinuous"/>
    </xf>
    <xf numFmtId="0" fontId="36" fillId="0" borderId="45" xfId="0" applyFont="1" applyBorder="1" applyAlignment="1">
      <alignment horizontal="left"/>
    </xf>
    <xf numFmtId="0" fontId="37" fillId="0" borderId="45" xfId="0" applyFont="1" applyBorder="1" applyAlignment="1">
      <alignment horizontal="centerContinuous"/>
    </xf>
    <xf numFmtId="0" fontId="16" fillId="0" borderId="0" xfId="0" applyFont="1">
      <alignment vertical="center"/>
    </xf>
    <xf numFmtId="183" fontId="0" fillId="0" borderId="0" xfId="0" applyNumberFormat="1" applyAlignment="1">
      <alignment horizontal="center" vertical="center"/>
    </xf>
    <xf numFmtId="183" fontId="0" fillId="10" borderId="29" xfId="0" applyNumberFormat="1" applyFill="1" applyBorder="1" applyAlignment="1">
      <alignment horizontal="center" vertical="center"/>
    </xf>
    <xf numFmtId="183" fontId="0" fillId="17" borderId="29" xfId="0" applyNumberFormat="1" applyFill="1" applyBorder="1" applyAlignment="1">
      <alignment horizontal="center" vertical="center"/>
    </xf>
    <xf numFmtId="183" fontId="7" fillId="10" borderId="29" xfId="0" applyNumberFormat="1" applyFont="1" applyFill="1" applyBorder="1" applyAlignment="1">
      <alignment horizontal="center" vertical="center"/>
    </xf>
    <xf numFmtId="183" fontId="20" fillId="12" borderId="29" xfId="0" applyNumberFormat="1" applyFont="1" applyFill="1" applyBorder="1" applyAlignment="1">
      <alignment horizontal="center" vertical="center"/>
    </xf>
    <xf numFmtId="183" fontId="20" fillId="12" borderId="29" xfId="0" applyNumberFormat="1" applyFont="1" applyFill="1" applyBorder="1" applyAlignment="1">
      <alignment horizontal="center" vertical="center" wrapText="1"/>
    </xf>
    <xf numFmtId="183" fontId="0" fillId="2" borderId="29" xfId="0" applyNumberFormat="1" applyFill="1" applyBorder="1" applyAlignment="1">
      <alignment horizontal="center" vertical="center"/>
    </xf>
    <xf numFmtId="183" fontId="0" fillId="8" borderId="29" xfId="0" applyNumberFormat="1" applyFill="1" applyBorder="1" applyAlignment="1">
      <alignment horizontal="center" vertical="center"/>
    </xf>
    <xf numFmtId="0" fontId="62" fillId="0" borderId="0" xfId="0" applyFont="1">
      <alignment vertical="center"/>
    </xf>
    <xf numFmtId="0" fontId="63" fillId="0" borderId="0" xfId="0" applyFont="1">
      <alignment vertical="center"/>
    </xf>
    <xf numFmtId="0" fontId="62" fillId="17" borderId="1" xfId="0" applyFont="1" applyFill="1" applyBorder="1">
      <alignment vertical="center"/>
    </xf>
    <xf numFmtId="0" fontId="62" fillId="17" borderId="3" xfId="0" applyFont="1" applyFill="1" applyBorder="1">
      <alignment vertical="center"/>
    </xf>
    <xf numFmtId="0" fontId="0" fillId="17" borderId="4" xfId="0" applyFill="1" applyBorder="1">
      <alignment vertical="center"/>
    </xf>
    <xf numFmtId="0" fontId="63" fillId="0" borderId="69" xfId="0" applyFont="1" applyBorder="1">
      <alignment vertical="center"/>
    </xf>
    <xf numFmtId="0" fontId="63" fillId="0" borderId="54" xfId="0" applyFont="1" applyBorder="1">
      <alignment vertical="center"/>
    </xf>
    <xf numFmtId="0" fontId="0" fillId="17" borderId="11" xfId="0" applyFill="1" applyBorder="1">
      <alignment vertical="center"/>
    </xf>
    <xf numFmtId="0" fontId="63" fillId="0" borderId="56" xfId="0" applyFont="1" applyBorder="1" applyAlignment="1">
      <alignment vertical="center" wrapText="1"/>
    </xf>
    <xf numFmtId="0" fontId="62" fillId="23" borderId="1" xfId="0" applyFont="1" applyFill="1" applyBorder="1">
      <alignment vertical="center"/>
    </xf>
    <xf numFmtId="0" fontId="62" fillId="23" borderId="3" xfId="0" applyFont="1" applyFill="1" applyBorder="1">
      <alignment vertical="center"/>
    </xf>
    <xf numFmtId="0" fontId="63" fillId="23" borderId="4" xfId="0" applyFont="1" applyFill="1" applyBorder="1">
      <alignment vertical="center"/>
    </xf>
    <xf numFmtId="0" fontId="63" fillId="0" borderId="5" xfId="0" applyFont="1" applyBorder="1">
      <alignment vertical="center"/>
    </xf>
    <xf numFmtId="0" fontId="63" fillId="23" borderId="11" xfId="0" applyFont="1" applyFill="1" applyBorder="1">
      <alignment vertical="center"/>
    </xf>
    <xf numFmtId="0" fontId="62" fillId="9" borderId="1" xfId="0" applyFont="1" applyFill="1" applyBorder="1">
      <alignment vertical="center"/>
    </xf>
    <xf numFmtId="0" fontId="62" fillId="9" borderId="3" xfId="0" applyFont="1" applyFill="1" applyBorder="1">
      <alignment vertical="center"/>
    </xf>
    <xf numFmtId="0" fontId="63" fillId="9" borderId="4" xfId="0" applyFont="1" applyFill="1" applyBorder="1">
      <alignment vertical="center"/>
    </xf>
    <xf numFmtId="0" fontId="63" fillId="9" borderId="11" xfId="0" applyFont="1" applyFill="1" applyBorder="1">
      <alignment vertical="center"/>
    </xf>
    <xf numFmtId="0" fontId="16" fillId="2" borderId="0" xfId="0" applyFont="1" applyFill="1">
      <alignment vertical="center"/>
    </xf>
    <xf numFmtId="0" fontId="64" fillId="0" borderId="0" xfId="0" applyFont="1">
      <alignment vertical="center"/>
    </xf>
    <xf numFmtId="0" fontId="63" fillId="0" borderId="56" xfId="0" applyFont="1" applyBorder="1" applyAlignment="1">
      <alignment vertical="top" wrapText="1"/>
    </xf>
    <xf numFmtId="0" fontId="65" fillId="0" borderId="0" xfId="0" applyFont="1">
      <alignment vertical="center"/>
    </xf>
    <xf numFmtId="0" fontId="63" fillId="0" borderId="0" xfId="0" applyFont="1" applyAlignment="1">
      <alignment vertical="center" wrapText="1"/>
    </xf>
    <xf numFmtId="0" fontId="0" fillId="0" borderId="0" xfId="0" applyAlignment="1">
      <alignment vertical="center" wrapText="1"/>
    </xf>
    <xf numFmtId="0" fontId="62" fillId="0" borderId="0" xfId="0" applyFont="1" applyAlignment="1">
      <alignment vertical="center" wrapText="1"/>
    </xf>
    <xf numFmtId="0" fontId="11" fillId="0" borderId="0" xfId="0" applyFont="1">
      <alignment vertical="center"/>
    </xf>
    <xf numFmtId="0" fontId="8" fillId="0" borderId="12" xfId="0" applyFont="1" applyBorder="1">
      <alignment vertical="center"/>
    </xf>
    <xf numFmtId="0" fontId="8" fillId="16" borderId="0" xfId="0" applyFont="1" applyFill="1">
      <alignment vertical="center"/>
    </xf>
    <xf numFmtId="0" fontId="8" fillId="15" borderId="0" xfId="0" applyFont="1" applyFill="1">
      <alignment vertical="center"/>
    </xf>
    <xf numFmtId="0" fontId="8" fillId="8" borderId="0" xfId="0" applyFont="1" applyFill="1">
      <alignment vertical="center"/>
    </xf>
    <xf numFmtId="0" fontId="5" fillId="0" borderId="0" xfId="0" applyFont="1">
      <alignment vertical="center"/>
    </xf>
    <xf numFmtId="0" fontId="9" fillId="0" borderId="0" xfId="0" applyFont="1">
      <alignment vertical="center"/>
    </xf>
    <xf numFmtId="0" fontId="60" fillId="0" borderId="0" xfId="0" applyFont="1">
      <alignment vertical="center"/>
    </xf>
    <xf numFmtId="0" fontId="8" fillId="0" borderId="0" xfId="0" applyFont="1" applyAlignment="1">
      <alignment horizontal="left" vertical="center"/>
    </xf>
    <xf numFmtId="0" fontId="8" fillId="0" borderId="18" xfId="0" applyFont="1" applyBorder="1">
      <alignment vertical="center"/>
    </xf>
    <xf numFmtId="0" fontId="8" fillId="0" borderId="17" xfId="0" applyFont="1" applyBorder="1">
      <alignment vertical="center"/>
    </xf>
    <xf numFmtId="0" fontId="8" fillId="0" borderId="0" xfId="0" applyFont="1" applyAlignment="1">
      <alignment horizontal="center" vertical="center"/>
    </xf>
    <xf numFmtId="0" fontId="8" fillId="0" borderId="16" xfId="0" applyFont="1" applyBorder="1">
      <alignment vertical="center"/>
    </xf>
    <xf numFmtId="0" fontId="8" fillId="0" borderId="17" xfId="0" applyFont="1" applyBorder="1" applyAlignment="1">
      <alignment horizontal="center" vertical="center"/>
    </xf>
    <xf numFmtId="0" fontId="67" fillId="0" borderId="0" xfId="0" applyFont="1">
      <alignment vertical="center"/>
    </xf>
    <xf numFmtId="0" fontId="8" fillId="9" borderId="0" xfId="0" applyFont="1" applyFill="1">
      <alignment vertical="center"/>
    </xf>
    <xf numFmtId="0" fontId="8" fillId="0" borderId="5" xfId="0" applyFont="1" applyBorder="1">
      <alignment vertical="center"/>
    </xf>
    <xf numFmtId="0" fontId="10" fillId="0" borderId="0" xfId="0" applyFont="1">
      <alignment vertical="center"/>
    </xf>
    <xf numFmtId="0" fontId="8" fillId="0" borderId="13" xfId="0" applyFont="1" applyBorder="1">
      <alignment vertical="center"/>
    </xf>
    <xf numFmtId="0" fontId="11" fillId="7" borderId="18" xfId="0" applyFont="1" applyFill="1" applyBorder="1">
      <alignment vertical="center"/>
    </xf>
    <xf numFmtId="0" fontId="8" fillId="7" borderId="18" xfId="0" applyFont="1" applyFill="1" applyBorder="1">
      <alignment vertical="center"/>
    </xf>
    <xf numFmtId="0" fontId="8" fillId="7" borderId="17" xfId="0" applyFont="1" applyFill="1" applyBorder="1">
      <alignment vertical="center"/>
    </xf>
    <xf numFmtId="0" fontId="11" fillId="0" borderId="29" xfId="0" applyFont="1" applyBorder="1" applyAlignment="1">
      <alignment horizontal="center" vertical="center"/>
    </xf>
    <xf numFmtId="0" fontId="11" fillId="0" borderId="18" xfId="0" applyFont="1" applyBorder="1">
      <alignment vertical="center"/>
    </xf>
    <xf numFmtId="0" fontId="9" fillId="0" borderId="18" xfId="0" applyFont="1" applyBorder="1">
      <alignment vertical="center"/>
    </xf>
    <xf numFmtId="0" fontId="9" fillId="0" borderId="17" xfId="0" applyFont="1" applyBorder="1">
      <alignment vertical="center"/>
    </xf>
    <xf numFmtId="0" fontId="12" fillId="0" borderId="2" xfId="0" applyFont="1" applyBorder="1">
      <alignment vertical="center"/>
    </xf>
    <xf numFmtId="0" fontId="12" fillId="0" borderId="3" xfId="0" applyFont="1" applyBorder="1">
      <alignment vertical="center"/>
    </xf>
    <xf numFmtId="0" fontId="13" fillId="0" borderId="0" xfId="1" applyFont="1" applyBorder="1" applyProtection="1">
      <alignment vertical="center"/>
    </xf>
    <xf numFmtId="0" fontId="12" fillId="0" borderId="18" xfId="0" applyFont="1" applyBorder="1">
      <alignment vertical="center"/>
    </xf>
    <xf numFmtId="0" fontId="24" fillId="0" borderId="0" xfId="0" applyFont="1">
      <alignment vertical="center"/>
    </xf>
    <xf numFmtId="0" fontId="13" fillId="0" borderId="52" xfId="1" applyFont="1" applyBorder="1" applyAlignment="1"/>
    <xf numFmtId="0" fontId="13" fillId="0" borderId="26" xfId="1" applyFont="1" applyBorder="1" applyAlignment="1"/>
    <xf numFmtId="0" fontId="13" fillId="0" borderId="55" xfId="1" applyFont="1" applyBorder="1" applyAlignment="1"/>
    <xf numFmtId="0" fontId="25" fillId="0" borderId="26" xfId="3" applyFont="1" applyBorder="1" applyAlignment="1">
      <alignment vertical="center"/>
    </xf>
    <xf numFmtId="0" fontId="25" fillId="0" borderId="26" xfId="3" applyFont="1" applyBorder="1" applyAlignment="1">
      <alignment horizontal="left" vertical="center"/>
    </xf>
    <xf numFmtId="0" fontId="25" fillId="0" borderId="26" xfId="0" applyFont="1" applyBorder="1" applyAlignment="1">
      <alignment horizontal="left" vertical="center"/>
    </xf>
    <xf numFmtId="0" fontId="25" fillId="0" borderId="55" xfId="0" applyFont="1" applyBorder="1" applyAlignment="1">
      <alignment horizontal="left" vertical="center"/>
    </xf>
    <xf numFmtId="0" fontId="25" fillId="0" borderId="55" xfId="3" applyFont="1" applyBorder="1" applyAlignment="1">
      <alignment vertical="center"/>
    </xf>
    <xf numFmtId="0" fontId="66" fillId="0" borderId="16" xfId="0" applyFont="1" applyBorder="1">
      <alignment vertical="center"/>
    </xf>
    <xf numFmtId="0" fontId="66" fillId="0" borderId="18" xfId="0" applyFont="1" applyBorder="1">
      <alignment vertical="center"/>
    </xf>
    <xf numFmtId="0" fontId="66" fillId="0" borderId="18" xfId="0" applyFont="1" applyBorder="1" applyAlignment="1">
      <alignment horizontal="center" vertical="center"/>
    </xf>
    <xf numFmtId="49" fontId="66" fillId="0" borderId="18" xfId="0" applyNumberFormat="1" applyFont="1" applyBorder="1" applyAlignment="1">
      <alignment horizontal="center" vertical="center"/>
    </xf>
    <xf numFmtId="0" fontId="8" fillId="0" borderId="2" xfId="0" applyFont="1" applyBorder="1">
      <alignment vertical="center"/>
    </xf>
    <xf numFmtId="0" fontId="10" fillId="7" borderId="2" xfId="0" applyFont="1" applyFill="1" applyBorder="1" applyAlignment="1">
      <alignment horizontal="center" vertical="center" wrapText="1"/>
    </xf>
    <xf numFmtId="0" fontId="8" fillId="0" borderId="18" xfId="0" applyFont="1" applyBorder="1" applyAlignment="1">
      <alignment horizontal="center" vertical="center"/>
    </xf>
    <xf numFmtId="0" fontId="8" fillId="0" borderId="16" xfId="0" applyFont="1" applyBorder="1" applyAlignment="1">
      <alignment horizontal="center" vertical="center"/>
    </xf>
    <xf numFmtId="49" fontId="8" fillId="0" borderId="17" xfId="0" applyNumberFormat="1" applyFont="1" applyBorder="1" applyAlignment="1">
      <alignment horizontal="center" vertical="center"/>
    </xf>
    <xf numFmtId="0" fontId="11" fillId="7" borderId="29" xfId="0" applyFont="1" applyFill="1" applyBorder="1" applyAlignment="1">
      <alignment horizontal="center" vertical="center"/>
    </xf>
    <xf numFmtId="0" fontId="10" fillId="0" borderId="2" xfId="0" applyFont="1" applyBorder="1" applyAlignment="1">
      <alignment horizontal="right" vertical="center"/>
    </xf>
    <xf numFmtId="0" fontId="8" fillId="0" borderId="4" xfId="0" applyFont="1" applyBorder="1">
      <alignment vertical="center"/>
    </xf>
    <xf numFmtId="0" fontId="8" fillId="24" borderId="18" xfId="0" applyFont="1" applyFill="1" applyBorder="1" applyAlignment="1">
      <alignment horizontal="center" vertical="center"/>
    </xf>
    <xf numFmtId="0" fontId="11" fillId="0" borderId="0" xfId="0" applyFont="1" applyAlignment="1"/>
    <xf numFmtId="0" fontId="8" fillId="10" borderId="29" xfId="0" applyFont="1" applyFill="1" applyBorder="1" applyAlignment="1">
      <alignment vertical="center" textRotation="255" wrapText="1"/>
    </xf>
    <xf numFmtId="0" fontId="8" fillId="10" borderId="29" xfId="0" applyFont="1" applyFill="1" applyBorder="1" applyAlignment="1">
      <alignment horizontal="center" vertical="center" textRotation="255"/>
    </xf>
    <xf numFmtId="0" fontId="33" fillId="28" borderId="0" xfId="0" applyFont="1" applyFill="1">
      <alignment vertical="center"/>
    </xf>
    <xf numFmtId="0" fontId="8" fillId="28" borderId="0" xfId="0" applyFont="1" applyFill="1">
      <alignment vertical="center"/>
    </xf>
    <xf numFmtId="0" fontId="70" fillId="28" borderId="0" xfId="1" applyFont="1" applyFill="1" applyAlignment="1" applyProtection="1">
      <alignment horizontal="left" vertical="center" indent="2"/>
    </xf>
    <xf numFmtId="0" fontId="8" fillId="28" borderId="0" xfId="0" applyFont="1" applyFill="1" applyAlignment="1"/>
    <xf numFmtId="0" fontId="8" fillId="0" borderId="0" xfId="0" applyFont="1" applyAlignment="1">
      <alignment vertical="top"/>
    </xf>
    <xf numFmtId="178" fontId="37" fillId="0" borderId="0" xfId="3" applyNumberFormat="1" applyFont="1"/>
    <xf numFmtId="0" fontId="35" fillId="0" borderId="0" xfId="3" applyFont="1" applyAlignment="1">
      <alignment vertical="center" wrapText="1"/>
    </xf>
    <xf numFmtId="0" fontId="8" fillId="6" borderId="0" xfId="0" applyFont="1" applyFill="1">
      <alignment vertical="center"/>
    </xf>
    <xf numFmtId="0" fontId="80" fillId="6" borderId="0" xfId="0" applyFont="1" applyFill="1">
      <alignment vertical="center"/>
    </xf>
    <xf numFmtId="0" fontId="81" fillId="0" borderId="0" xfId="0" applyFont="1">
      <alignment vertical="center"/>
    </xf>
    <xf numFmtId="0" fontId="82" fillId="0" borderId="0" xfId="0" applyFont="1">
      <alignment vertical="center"/>
    </xf>
    <xf numFmtId="0" fontId="82" fillId="0" borderId="1" xfId="0" applyFont="1" applyBorder="1">
      <alignment vertical="center"/>
    </xf>
    <xf numFmtId="0" fontId="82" fillId="0" borderId="2" xfId="0" applyFont="1" applyBorder="1">
      <alignment vertical="center"/>
    </xf>
    <xf numFmtId="0" fontId="82" fillId="0" borderId="3" xfId="0" applyFont="1" applyBorder="1">
      <alignment vertical="center"/>
    </xf>
    <xf numFmtId="0" fontId="82" fillId="0" borderId="4" xfId="0" applyFont="1" applyBorder="1">
      <alignment vertical="center"/>
    </xf>
    <xf numFmtId="0" fontId="82" fillId="0" borderId="5" xfId="0" applyFont="1" applyBorder="1">
      <alignment vertical="center"/>
    </xf>
    <xf numFmtId="0" fontId="82" fillId="0" borderId="5" xfId="0" applyFont="1" applyBorder="1" applyAlignment="1">
      <alignment vertical="center" wrapText="1"/>
    </xf>
    <xf numFmtId="0" fontId="83" fillId="0" borderId="29" xfId="0" applyFont="1" applyBorder="1" applyAlignment="1">
      <alignment horizontal="justify" vertical="center" wrapText="1"/>
    </xf>
    <xf numFmtId="0" fontId="83" fillId="0" borderId="29" xfId="0" applyFont="1" applyBorder="1" applyAlignment="1">
      <alignment vertical="center" wrapText="1"/>
    </xf>
    <xf numFmtId="0" fontId="82" fillId="0" borderId="11" xfId="0" applyFont="1" applyBorder="1">
      <alignment vertical="center"/>
    </xf>
    <xf numFmtId="0" fontId="82" fillId="0" borderId="12" xfId="0" applyFont="1" applyBorder="1">
      <alignment vertical="center"/>
    </xf>
    <xf numFmtId="0" fontId="82" fillId="0" borderId="13" xfId="0" applyFont="1" applyBorder="1">
      <alignment vertical="center"/>
    </xf>
    <xf numFmtId="0" fontId="83" fillId="0" borderId="0" xfId="0" applyFont="1">
      <alignment vertical="center"/>
    </xf>
    <xf numFmtId="179" fontId="84" fillId="0" borderId="0" xfId="5" applyFont="1" applyAlignment="1">
      <alignment vertical="center"/>
    </xf>
    <xf numFmtId="179" fontId="85" fillId="0" borderId="0" xfId="5" applyFont="1" applyAlignment="1">
      <alignment vertical="center"/>
    </xf>
    <xf numFmtId="3" fontId="86" fillId="0" borderId="0" xfId="5" applyNumberFormat="1" applyFont="1" applyAlignment="1">
      <alignment vertical="center"/>
    </xf>
    <xf numFmtId="0" fontId="88" fillId="16" borderId="0" xfId="0" applyFont="1" applyFill="1">
      <alignment vertical="center"/>
    </xf>
    <xf numFmtId="0" fontId="88" fillId="0" borderId="0" xfId="0" applyFont="1">
      <alignment vertical="center"/>
    </xf>
    <xf numFmtId="0" fontId="88" fillId="15" borderId="0" xfId="0" applyFont="1" applyFill="1">
      <alignment vertical="center"/>
    </xf>
    <xf numFmtId="0" fontId="88" fillId="8" borderId="0" xfId="0" applyFont="1" applyFill="1">
      <alignment vertical="center"/>
    </xf>
    <xf numFmtId="179" fontId="84" fillId="0" borderId="0" xfId="5" applyFont="1" applyAlignment="1">
      <alignment horizontal="centerContinuous"/>
    </xf>
    <xf numFmtId="179" fontId="89" fillId="0" borderId="0" xfId="5" applyFont="1" applyAlignment="1">
      <alignment vertical="center"/>
    </xf>
    <xf numFmtId="0" fontId="92" fillId="0" borderId="0" xfId="0" applyFont="1">
      <alignment vertical="center"/>
    </xf>
    <xf numFmtId="179" fontId="93" fillId="0" borderId="0" xfId="5" applyFont="1" applyAlignment="1">
      <alignment horizontal="center" vertical="center"/>
    </xf>
    <xf numFmtId="179" fontId="94" fillId="0" borderId="0" xfId="5" applyFont="1" applyAlignment="1">
      <alignment vertical="center"/>
    </xf>
    <xf numFmtId="179" fontId="94" fillId="0" borderId="0" xfId="5" applyFont="1" applyAlignment="1">
      <alignment horizontal="center" vertical="center"/>
    </xf>
    <xf numFmtId="179" fontId="94" fillId="0" borderId="8" xfId="5" applyFont="1" applyBorder="1" applyAlignment="1">
      <alignment vertical="center"/>
    </xf>
    <xf numFmtId="179" fontId="96" fillId="0" borderId="0" xfId="5" applyFont="1" applyAlignment="1">
      <alignment vertical="center"/>
    </xf>
    <xf numFmtId="179" fontId="94" fillId="0" borderId="0" xfId="5" applyFont="1" applyAlignment="1">
      <alignment horizontal="left" vertical="center"/>
    </xf>
    <xf numFmtId="179" fontId="84" fillId="0" borderId="34" xfId="5" applyFont="1" applyBorder="1" applyAlignment="1">
      <alignment horizontal="left" vertical="center"/>
    </xf>
    <xf numFmtId="179" fontId="84" fillId="0" borderId="35" xfId="5" applyFont="1" applyBorder="1" applyAlignment="1">
      <alignment horizontal="left" vertical="center"/>
    </xf>
    <xf numFmtId="0" fontId="84" fillId="0" borderId="0" xfId="5" applyNumberFormat="1" applyFont="1" applyAlignment="1">
      <alignment horizontal="center" vertical="center"/>
    </xf>
    <xf numFmtId="179" fontId="84" fillId="0" borderId="0" xfId="5" applyFont="1" applyAlignment="1">
      <alignment horizontal="center" vertical="center"/>
    </xf>
    <xf numFmtId="179" fontId="95" fillId="0" borderId="59" xfId="5" applyFont="1" applyBorder="1" applyAlignment="1">
      <alignment horizontal="centerContinuous" vertical="center" wrapText="1"/>
    </xf>
    <xf numFmtId="179" fontId="95" fillId="0" borderId="7" xfId="5" applyFont="1" applyBorder="1" applyAlignment="1">
      <alignment horizontal="centerContinuous" vertical="center" wrapText="1"/>
    </xf>
    <xf numFmtId="179" fontId="95" fillId="0" borderId="33" xfId="5" applyFont="1" applyBorder="1" applyAlignment="1">
      <alignment horizontal="centerContinuous" vertical="center" wrapText="1"/>
    </xf>
    <xf numFmtId="0" fontId="99" fillId="16" borderId="57" xfId="5" applyNumberFormat="1" applyFont="1" applyFill="1" applyBorder="1" applyAlignment="1">
      <alignment horizontal="center" vertical="center"/>
    </xf>
    <xf numFmtId="179" fontId="100" fillId="0" borderId="66" xfId="5" applyFont="1" applyBorder="1" applyAlignment="1">
      <alignment horizontal="centerContinuous" vertical="center"/>
    </xf>
    <xf numFmtId="179" fontId="102" fillId="0" borderId="66" xfId="5" applyFont="1" applyBorder="1" applyAlignment="1">
      <alignment horizontal="centerContinuous" vertical="center" wrapText="1"/>
    </xf>
    <xf numFmtId="179" fontId="105" fillId="0" borderId="6" xfId="5" applyFont="1" applyBorder="1" applyAlignment="1">
      <alignment horizontal="centerContinuous" vertical="center"/>
    </xf>
    <xf numFmtId="179" fontId="105" fillId="0" borderId="7" xfId="5" applyFont="1" applyBorder="1" applyAlignment="1">
      <alignment horizontal="centerContinuous" vertical="center"/>
    </xf>
    <xf numFmtId="0" fontId="106" fillId="0" borderId="59" xfId="5" applyNumberFormat="1" applyFont="1" applyBorder="1" applyAlignment="1">
      <alignment horizontal="right" vertical="center"/>
    </xf>
    <xf numFmtId="0" fontId="106" fillId="0" borderId="7" xfId="5" applyNumberFormat="1" applyFont="1" applyBorder="1" applyAlignment="1">
      <alignment vertical="center"/>
    </xf>
    <xf numFmtId="179" fontId="104" fillId="0" borderId="19" xfId="5" applyFont="1" applyBorder="1"/>
    <xf numFmtId="179" fontId="100" fillId="0" borderId="57" xfId="5" applyFont="1" applyBorder="1" applyAlignment="1">
      <alignment horizontal="centerContinuous" vertical="center"/>
    </xf>
    <xf numFmtId="179" fontId="92" fillId="0" borderId="0" xfId="5" applyFont="1" applyAlignment="1">
      <alignment vertical="center"/>
    </xf>
    <xf numFmtId="179" fontId="84" fillId="0" borderId="7" xfId="5" applyFont="1" applyBorder="1" applyAlignment="1">
      <alignment vertical="center"/>
    </xf>
    <xf numFmtId="179" fontId="84" fillId="0" borderId="7" xfId="5" applyFont="1" applyBorder="1" applyAlignment="1">
      <alignment horizontal="center" vertical="center"/>
    </xf>
    <xf numFmtId="179" fontId="84" fillId="0" borderId="33" xfId="5" applyFont="1" applyBorder="1" applyAlignment="1">
      <alignment horizontal="center" vertical="center"/>
    </xf>
    <xf numFmtId="0" fontId="93" fillId="0" borderId="0" xfId="0" applyFont="1">
      <alignment vertical="center"/>
    </xf>
    <xf numFmtId="0" fontId="84" fillId="0" borderId="0" xfId="3" applyFont="1"/>
    <xf numFmtId="179" fontId="102" fillId="0" borderId="0" xfId="5" applyFont="1" applyAlignment="1">
      <alignment horizontal="center" vertical="center" wrapText="1"/>
    </xf>
    <xf numFmtId="179" fontId="103" fillId="0" borderId="0" xfId="5" applyFont="1" applyAlignment="1">
      <alignment horizontal="center" vertical="center" wrapText="1"/>
    </xf>
    <xf numFmtId="0" fontId="104" fillId="0" borderId="0" xfId="5" applyNumberFormat="1" applyFont="1" applyAlignment="1">
      <alignment horizontal="center" vertical="center"/>
    </xf>
    <xf numFmtId="178" fontId="34" fillId="0" borderId="0" xfId="3" applyNumberFormat="1" applyFont="1"/>
    <xf numFmtId="0" fontId="8" fillId="24" borderId="16" xfId="0" applyFont="1" applyFill="1" applyBorder="1" applyAlignment="1">
      <alignment horizontal="center" vertical="center"/>
    </xf>
    <xf numFmtId="0" fontId="8" fillId="24" borderId="17" xfId="0" applyFont="1" applyFill="1" applyBorder="1" applyAlignment="1">
      <alignment horizontal="center" vertical="center"/>
    </xf>
    <xf numFmtId="0" fontId="116" fillId="0" borderId="0" xfId="0" applyFont="1">
      <alignment vertical="center"/>
    </xf>
    <xf numFmtId="0" fontId="117" fillId="0" borderId="0" xfId="3" applyFont="1" applyAlignment="1">
      <alignment vertical="top"/>
    </xf>
    <xf numFmtId="0" fontId="119" fillId="0" borderId="0" xfId="3" applyFont="1"/>
    <xf numFmtId="49" fontId="8" fillId="24" borderId="17" xfId="0" applyNumberFormat="1" applyFont="1" applyFill="1" applyBorder="1" applyAlignment="1">
      <alignment horizontal="center" vertical="center"/>
    </xf>
    <xf numFmtId="14" fontId="8" fillId="0" borderId="0" xfId="3" applyNumberFormat="1" applyFont="1"/>
    <xf numFmtId="0" fontId="113" fillId="0" borderId="0" xfId="5" applyNumberFormat="1" applyFont="1" applyAlignment="1">
      <alignment vertical="center"/>
    </xf>
    <xf numFmtId="179" fontId="114" fillId="0" borderId="0" xfId="5" applyFont="1" applyAlignment="1">
      <alignment vertical="center"/>
    </xf>
    <xf numFmtId="0" fontId="94" fillId="0" borderId="0" xfId="5" applyNumberFormat="1" applyFont="1" applyAlignment="1">
      <alignment horizontal="center" vertical="center"/>
    </xf>
    <xf numFmtId="0" fontId="94" fillId="0" borderId="0" xfId="5" applyNumberFormat="1" applyFont="1" applyAlignment="1">
      <alignment vertical="center"/>
    </xf>
    <xf numFmtId="0" fontId="94" fillId="0" borderId="0" xfId="5" applyNumberFormat="1" applyFont="1" applyAlignment="1">
      <alignment horizontal="right" vertical="center"/>
    </xf>
    <xf numFmtId="0" fontId="9" fillId="7" borderId="1" xfId="0" applyFont="1" applyFill="1" applyBorder="1" applyAlignment="1">
      <alignment horizontal="left" vertical="center"/>
    </xf>
    <xf numFmtId="0" fontId="9" fillId="7" borderId="3" xfId="0" applyFont="1" applyFill="1" applyBorder="1" applyAlignment="1">
      <alignment horizontal="left" vertical="center"/>
    </xf>
    <xf numFmtId="0" fontId="9" fillId="7" borderId="4" xfId="0" applyFont="1" applyFill="1" applyBorder="1" applyAlignment="1">
      <alignment horizontal="left" vertical="center"/>
    </xf>
    <xf numFmtId="0" fontId="9" fillId="7" borderId="5" xfId="0" applyFont="1" applyFill="1" applyBorder="1" applyAlignment="1">
      <alignment horizontal="left" vertical="center"/>
    </xf>
    <xf numFmtId="0" fontId="9" fillId="7" borderId="11" xfId="0" applyFont="1" applyFill="1" applyBorder="1" applyAlignment="1">
      <alignment horizontal="left" vertical="center"/>
    </xf>
    <xf numFmtId="0" fontId="9" fillId="7" borderId="13" xfId="0" applyFont="1" applyFill="1" applyBorder="1" applyAlignment="1">
      <alignment horizontal="left" vertical="center"/>
    </xf>
    <xf numFmtId="0" fontId="3" fillId="0" borderId="69" xfId="1" applyBorder="1">
      <alignment vertical="center"/>
    </xf>
    <xf numFmtId="183" fontId="116" fillId="2" borderId="29" xfId="0" applyNumberFormat="1" applyFont="1" applyFill="1" applyBorder="1" applyAlignment="1">
      <alignment horizontal="center" vertical="center"/>
    </xf>
    <xf numFmtId="183" fontId="116" fillId="8" borderId="29" xfId="0" applyNumberFormat="1" applyFont="1" applyFill="1" applyBorder="1" applyAlignment="1">
      <alignment horizontal="center" vertical="center"/>
    </xf>
    <xf numFmtId="183" fontId="116" fillId="0" borderId="29" xfId="0" applyNumberFormat="1" applyFont="1" applyBorder="1">
      <alignment vertical="center"/>
    </xf>
    <xf numFmtId="0" fontId="116" fillId="18" borderId="29" xfId="0" applyFont="1" applyFill="1" applyBorder="1">
      <alignment vertical="center"/>
    </xf>
    <xf numFmtId="183" fontId="20" fillId="13" borderId="29" xfId="0" applyNumberFormat="1" applyFont="1" applyFill="1" applyBorder="1" applyAlignment="1">
      <alignment horizontal="center" vertical="center"/>
    </xf>
    <xf numFmtId="183" fontId="20" fillId="17" borderId="29" xfId="0" applyNumberFormat="1" applyFont="1" applyFill="1" applyBorder="1" applyAlignment="1">
      <alignment horizontal="center" vertical="center" wrapText="1"/>
    </xf>
    <xf numFmtId="183" fontId="20" fillId="9" borderId="29" xfId="0" applyNumberFormat="1" applyFont="1" applyFill="1" applyBorder="1" applyAlignment="1">
      <alignment horizontal="center" vertical="center"/>
    </xf>
    <xf numFmtId="0" fontId="20" fillId="12" borderId="29" xfId="0" applyFont="1" applyFill="1" applyBorder="1" applyAlignment="1">
      <alignment horizontal="center" vertical="center"/>
    </xf>
    <xf numFmtId="183" fontId="116" fillId="15" borderId="29" xfId="0" applyNumberFormat="1" applyFont="1" applyFill="1" applyBorder="1" applyAlignment="1">
      <alignment horizontal="center" vertical="center"/>
    </xf>
    <xf numFmtId="183" fontId="116" fillId="19" borderId="29" xfId="0" applyNumberFormat="1" applyFont="1" applyFill="1" applyBorder="1" applyAlignment="1">
      <alignment horizontal="center" vertical="center"/>
    </xf>
    <xf numFmtId="0" fontId="116" fillId="2" borderId="29" xfId="0" applyFont="1" applyFill="1" applyBorder="1" applyAlignment="1">
      <alignment horizontal="center" vertical="center"/>
    </xf>
    <xf numFmtId="183" fontId="116" fillId="16" borderId="29" xfId="0" applyNumberFormat="1" applyFont="1" applyFill="1" applyBorder="1" applyAlignment="1">
      <alignment horizontal="center" vertical="center"/>
    </xf>
    <xf numFmtId="0" fontId="25" fillId="0" borderId="0" xfId="0" applyFont="1">
      <alignment vertical="center"/>
    </xf>
    <xf numFmtId="0" fontId="123" fillId="0" borderId="0" xfId="0" applyFont="1" applyAlignment="1">
      <alignment horizontal="right" vertical="center"/>
    </xf>
    <xf numFmtId="0" fontId="25" fillId="7" borderId="16" xfId="0" applyFont="1" applyFill="1" applyBorder="1">
      <alignment vertical="center"/>
    </xf>
    <xf numFmtId="0" fontId="25" fillId="7" borderId="18" xfId="0" applyFont="1" applyFill="1" applyBorder="1">
      <alignment vertical="center"/>
    </xf>
    <xf numFmtId="0" fontId="124" fillId="0" borderId="0" xfId="0" applyFont="1">
      <alignment vertical="center"/>
    </xf>
    <xf numFmtId="0" fontId="10" fillId="0" borderId="0" xfId="0" applyFont="1" applyAlignment="1">
      <alignment horizontal="left" vertical="center"/>
    </xf>
    <xf numFmtId="0" fontId="8" fillId="19" borderId="0" xfId="0" applyFont="1" applyFill="1">
      <alignment vertical="center"/>
    </xf>
    <xf numFmtId="0" fontId="8" fillId="19" borderId="0" xfId="0" applyFont="1" applyFill="1" applyAlignment="1">
      <alignment vertical="center" wrapText="1"/>
    </xf>
    <xf numFmtId="0" fontId="8" fillId="0" borderId="0" xfId="0" applyFont="1" applyAlignment="1">
      <alignment horizontal="left" vertical="center" indent="1"/>
    </xf>
    <xf numFmtId="0" fontId="8" fillId="0" borderId="0" xfId="0" applyFont="1" applyAlignment="1">
      <alignment horizontal="center" vertical="center" wrapText="1"/>
    </xf>
    <xf numFmtId="0" fontId="23" fillId="0" borderId="0" xfId="0" applyFont="1" applyAlignment="1">
      <alignment horizontal="center" vertical="center"/>
    </xf>
    <xf numFmtId="0" fontId="12" fillId="0" borderId="0" xfId="0" applyFont="1">
      <alignment vertical="center"/>
    </xf>
    <xf numFmtId="0" fontId="112" fillId="0" borderId="0" xfId="0" applyFont="1">
      <alignment vertical="center"/>
    </xf>
    <xf numFmtId="0" fontId="11" fillId="0" borderId="30" xfId="0" applyFont="1" applyBorder="1" applyAlignment="1">
      <alignment horizontal="center" vertical="center"/>
    </xf>
    <xf numFmtId="0" fontId="11" fillId="0" borderId="2" xfId="0" applyFont="1" applyBorder="1">
      <alignment vertical="center"/>
    </xf>
    <xf numFmtId="0" fontId="8" fillId="0" borderId="3" xfId="0" applyFont="1" applyBorder="1">
      <alignment vertical="center"/>
    </xf>
    <xf numFmtId="0" fontId="11" fillId="0" borderId="84" xfId="0" applyFont="1" applyBorder="1" applyAlignment="1">
      <alignment horizontal="center" vertical="center"/>
    </xf>
    <xf numFmtId="0" fontId="11" fillId="0" borderId="20" xfId="0" applyFont="1" applyBorder="1">
      <alignment vertical="center"/>
    </xf>
    <xf numFmtId="0" fontId="8" fillId="0" borderId="20" xfId="0" applyFont="1" applyBorder="1">
      <alignment vertical="center"/>
    </xf>
    <xf numFmtId="0" fontId="8" fillId="0" borderId="85" xfId="0" applyFont="1" applyBorder="1">
      <alignment vertical="center"/>
    </xf>
    <xf numFmtId="0" fontId="8" fillId="9" borderId="30" xfId="0" applyFont="1" applyFill="1" applyBorder="1" applyAlignment="1">
      <alignment horizontal="center" vertical="center" textRotation="255" wrapText="1"/>
    </xf>
    <xf numFmtId="0" fontId="8" fillId="9" borderId="31" xfId="0" applyFont="1" applyFill="1" applyBorder="1" applyAlignment="1">
      <alignment horizontal="center" vertical="center" textRotation="255" wrapText="1"/>
    </xf>
    <xf numFmtId="0" fontId="8" fillId="9" borderId="23" xfId="0" applyFont="1" applyFill="1" applyBorder="1" applyAlignment="1">
      <alignment horizontal="center" vertical="center" textRotation="255" wrapText="1"/>
    </xf>
    <xf numFmtId="0" fontId="8" fillId="0" borderId="1" xfId="0" applyFont="1" applyBorder="1" applyAlignment="1">
      <alignment horizontal="left" vertical="center" wrapText="1"/>
    </xf>
    <xf numFmtId="0" fontId="8" fillId="0" borderId="2" xfId="0" applyFont="1" applyBorder="1" applyAlignment="1">
      <alignment horizontal="left" vertical="center" wrapText="1"/>
    </xf>
    <xf numFmtId="0" fontId="8" fillId="0" borderId="3" xfId="0" applyFont="1" applyBorder="1" applyAlignment="1">
      <alignment horizontal="left" vertical="center" wrapText="1"/>
    </xf>
    <xf numFmtId="0" fontId="0" fillId="0" borderId="4" xfId="0" applyBorder="1" applyAlignment="1">
      <alignment horizontal="left" vertical="center" wrapText="1"/>
    </xf>
    <xf numFmtId="0" fontId="0" fillId="0" borderId="0" xfId="0" applyAlignment="1">
      <alignment horizontal="left" vertical="center" wrapText="1"/>
    </xf>
    <xf numFmtId="0" fontId="0" fillId="0" borderId="5" xfId="0" applyBorder="1" applyAlignment="1">
      <alignment horizontal="left"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0" fillId="0" borderId="13" xfId="0" applyBorder="1" applyAlignment="1">
      <alignment horizontal="left" vertical="center" wrapText="1"/>
    </xf>
    <xf numFmtId="0" fontId="8" fillId="0" borderId="80" xfId="0" applyFont="1" applyBorder="1" applyAlignment="1">
      <alignment horizontal="center" vertical="center"/>
    </xf>
    <xf numFmtId="0" fontId="8" fillId="0" borderId="76" xfId="0" applyFont="1" applyBorder="1" applyAlignment="1">
      <alignment horizontal="center" vertical="center"/>
    </xf>
    <xf numFmtId="0" fontId="8" fillId="0" borderId="82" xfId="0" applyFont="1" applyBorder="1" applyAlignment="1">
      <alignment horizontal="center" vertical="center"/>
    </xf>
    <xf numFmtId="0" fontId="8" fillId="0" borderId="12" xfId="0" applyFont="1" applyBorder="1" applyAlignment="1">
      <alignment horizontal="center" vertical="center"/>
    </xf>
    <xf numFmtId="0" fontId="8" fillId="0" borderId="75" xfId="0" applyFont="1" applyBorder="1" applyAlignment="1">
      <alignment horizontal="center" vertical="center"/>
    </xf>
    <xf numFmtId="0" fontId="8" fillId="0" borderId="81" xfId="0" applyFont="1" applyBorder="1" applyAlignment="1">
      <alignment horizontal="center" vertical="center"/>
    </xf>
    <xf numFmtId="0" fontId="8" fillId="0" borderId="11" xfId="0" applyFont="1" applyBorder="1" applyAlignment="1">
      <alignment horizontal="center" vertical="center"/>
    </xf>
    <xf numFmtId="0" fontId="8" fillId="0" borderId="83" xfId="0" applyFont="1" applyBorder="1" applyAlignment="1">
      <alignment horizontal="center" vertical="center"/>
    </xf>
    <xf numFmtId="0" fontId="8" fillId="10" borderId="29" xfId="0" applyFont="1" applyFill="1" applyBorder="1" applyAlignment="1">
      <alignment horizontal="center" vertical="center" textRotation="255" wrapText="1"/>
    </xf>
    <xf numFmtId="0" fontId="8" fillId="10" borderId="29" xfId="0" applyFont="1" applyFill="1" applyBorder="1" applyAlignment="1">
      <alignment horizontal="center" vertical="center" textRotation="255"/>
    </xf>
    <xf numFmtId="49" fontId="8" fillId="0" borderId="17" xfId="0" applyNumberFormat="1" applyFont="1" applyBorder="1" applyAlignment="1">
      <alignment horizontal="center" vertical="center"/>
    </xf>
    <xf numFmtId="49" fontId="8" fillId="0" borderId="29" xfId="0" applyNumberFormat="1" applyFont="1" applyBorder="1" applyAlignment="1">
      <alignment horizontal="center" vertical="center"/>
    </xf>
    <xf numFmtId="0" fontId="11" fillId="0" borderId="77" xfId="0" applyFont="1" applyBorder="1" applyAlignment="1">
      <alignment horizontal="center" vertical="center"/>
    </xf>
    <xf numFmtId="0" fontId="11" fillId="0" borderId="78" xfId="0" applyFont="1" applyBorder="1" applyAlignment="1">
      <alignment horizontal="center" vertical="center"/>
    </xf>
    <xf numFmtId="0" fontId="8" fillId="0" borderId="78" xfId="0" applyFont="1" applyBorder="1" applyAlignment="1">
      <alignment horizontal="center" vertical="center"/>
    </xf>
    <xf numFmtId="0" fontId="8" fillId="0" borderId="79" xfId="0" applyFont="1" applyBorder="1" applyAlignment="1">
      <alignment horizontal="center" vertical="center"/>
    </xf>
    <xf numFmtId="0" fontId="8" fillId="7" borderId="1" xfId="0" applyFont="1" applyFill="1" applyBorder="1" applyAlignment="1">
      <alignment horizontal="center" vertical="center"/>
    </xf>
    <xf numFmtId="0" fontId="8" fillId="7" borderId="2"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11" xfId="0" applyFont="1" applyFill="1" applyBorder="1" applyAlignment="1">
      <alignment horizontal="center" vertical="center"/>
    </xf>
    <xf numFmtId="0" fontId="8" fillId="7" borderId="12" xfId="0" applyFont="1" applyFill="1" applyBorder="1" applyAlignment="1">
      <alignment horizontal="center" vertical="center"/>
    </xf>
    <xf numFmtId="0" fontId="8" fillId="7" borderId="13" xfId="0" applyFont="1" applyFill="1" applyBorder="1" applyAlignment="1">
      <alignment horizontal="center" vertical="center"/>
    </xf>
    <xf numFmtId="0" fontId="80" fillId="6" borderId="0" xfId="0" applyFont="1" applyFill="1" applyAlignment="1">
      <alignment horizontal="left" vertical="center"/>
    </xf>
    <xf numFmtId="49" fontId="8" fillId="0" borderId="16" xfId="0" applyNumberFormat="1" applyFont="1" applyBorder="1" applyAlignment="1">
      <alignment horizontal="center" vertical="center"/>
    </xf>
    <xf numFmtId="0" fontId="8" fillId="0" borderId="16" xfId="0" applyFont="1" applyBorder="1" applyAlignment="1">
      <alignment horizontal="center" vertical="center"/>
    </xf>
    <xf numFmtId="0" fontId="8" fillId="0" borderId="18" xfId="0" applyFont="1" applyBorder="1" applyAlignment="1">
      <alignment horizontal="center" vertical="center"/>
    </xf>
    <xf numFmtId="0" fontId="8" fillId="0" borderId="17" xfId="0" applyFont="1" applyBorder="1" applyAlignment="1">
      <alignment horizontal="center" vertical="center"/>
    </xf>
    <xf numFmtId="0" fontId="8" fillId="0" borderId="29" xfId="0" applyFont="1" applyBorder="1" applyAlignment="1">
      <alignment horizontal="center" vertical="center" wrapText="1"/>
    </xf>
    <xf numFmtId="0" fontId="8" fillId="11" borderId="29" xfId="0" applyFont="1" applyFill="1" applyBorder="1" applyAlignment="1">
      <alignment horizontal="center" vertical="center" wrapText="1"/>
    </xf>
    <xf numFmtId="0" fontId="8" fillId="11" borderId="29" xfId="0" applyFont="1" applyFill="1" applyBorder="1" applyAlignment="1">
      <alignment horizontal="center" vertical="center"/>
    </xf>
    <xf numFmtId="0" fontId="10" fillId="11" borderId="29" xfId="0" applyFont="1" applyFill="1" applyBorder="1" applyAlignment="1">
      <alignment horizontal="center" vertical="center" wrapText="1"/>
    </xf>
    <xf numFmtId="0" fontId="8" fillId="0" borderId="29" xfId="0" applyFont="1" applyBorder="1" applyAlignment="1">
      <alignment horizontal="center" vertical="center"/>
    </xf>
    <xf numFmtId="0" fontId="8" fillId="15" borderId="0" xfId="0" applyFont="1" applyFill="1" applyAlignment="1">
      <alignment vertical="center" wrapText="1"/>
    </xf>
    <xf numFmtId="183" fontId="25" fillId="15" borderId="16" xfId="0" applyNumberFormat="1" applyFont="1" applyFill="1" applyBorder="1" applyAlignment="1">
      <alignment horizontal="center" vertical="center"/>
    </xf>
    <xf numFmtId="183" fontId="25" fillId="15" borderId="18" xfId="0" applyNumberFormat="1" applyFont="1" applyFill="1" applyBorder="1" applyAlignment="1">
      <alignment horizontal="center" vertical="center"/>
    </xf>
    <xf numFmtId="0" fontId="27" fillId="0" borderId="29" xfId="0" applyFont="1" applyBorder="1" applyAlignment="1">
      <alignment horizontal="left" vertical="center"/>
    </xf>
    <xf numFmtId="0" fontId="27" fillId="0" borderId="16" xfId="0" applyFont="1" applyBorder="1" applyAlignment="1">
      <alignment horizontal="left" vertical="center"/>
    </xf>
    <xf numFmtId="0" fontId="8" fillId="7" borderId="29" xfId="0" applyFont="1" applyFill="1" applyBorder="1" applyAlignment="1">
      <alignment horizontal="center" vertical="center"/>
    </xf>
    <xf numFmtId="49" fontId="8" fillId="0" borderId="29" xfId="0" quotePrefix="1" applyNumberFormat="1" applyFont="1" applyBorder="1" applyAlignment="1">
      <alignment horizontal="center" vertical="center"/>
    </xf>
    <xf numFmtId="49" fontId="8" fillId="24" borderId="17" xfId="0" applyNumberFormat="1" applyFont="1" applyFill="1" applyBorder="1" applyAlignment="1">
      <alignment horizontal="center" vertical="center"/>
    </xf>
    <xf numFmtId="49" fontId="8" fillId="24" borderId="16" xfId="0" applyNumberFormat="1" applyFont="1" applyFill="1" applyBorder="1" applyAlignment="1">
      <alignment horizontal="center" vertical="center"/>
    </xf>
    <xf numFmtId="0" fontId="8" fillId="11" borderId="29" xfId="0" applyFont="1" applyFill="1" applyBorder="1" applyAlignment="1">
      <alignment horizontal="center" vertical="center" textRotation="255" wrapText="1"/>
    </xf>
    <xf numFmtId="49" fontId="8" fillId="24" borderId="29" xfId="0" applyNumberFormat="1" applyFont="1" applyFill="1" applyBorder="1" applyAlignment="1">
      <alignment horizontal="center" vertical="center"/>
    </xf>
    <xf numFmtId="49" fontId="8" fillId="24" borderId="29" xfId="0" quotePrefix="1" applyNumberFormat="1" applyFont="1" applyFill="1" applyBorder="1" applyAlignment="1">
      <alignment horizontal="center" vertical="center"/>
    </xf>
    <xf numFmtId="0" fontId="8" fillId="19" borderId="0" xfId="0" applyFont="1" applyFill="1" applyAlignment="1">
      <alignment vertical="center" wrapText="1"/>
    </xf>
    <xf numFmtId="0" fontId="25" fillId="19" borderId="0" xfId="0" applyFont="1" applyFill="1" applyAlignment="1">
      <alignment vertical="center" wrapText="1"/>
    </xf>
    <xf numFmtId="0" fontId="25" fillId="7" borderId="16" xfId="0" applyFont="1" applyFill="1" applyBorder="1" applyAlignment="1">
      <alignment horizontal="center" vertical="center"/>
    </xf>
    <xf numFmtId="0" fontId="25" fillId="7" borderId="18" xfId="0" applyFont="1" applyFill="1" applyBorder="1" applyAlignment="1">
      <alignment horizontal="center" vertical="center"/>
    </xf>
    <xf numFmtId="0" fontId="25" fillId="7" borderId="17" xfId="0" applyFont="1" applyFill="1" applyBorder="1" applyAlignment="1">
      <alignment horizontal="center" vertical="center"/>
    </xf>
    <xf numFmtId="0" fontId="35" fillId="7" borderId="16" xfId="0" applyFont="1" applyFill="1" applyBorder="1" applyAlignment="1">
      <alignment horizontal="center" vertical="center"/>
    </xf>
    <xf numFmtId="0" fontId="35" fillId="7" borderId="18" xfId="0" applyFont="1" applyFill="1" applyBorder="1" applyAlignment="1">
      <alignment horizontal="center" vertical="center"/>
    </xf>
    <xf numFmtId="0" fontId="35" fillId="7" borderId="17" xfId="0" applyFont="1" applyFill="1" applyBorder="1" applyAlignment="1">
      <alignment horizontal="center" vertical="center"/>
    </xf>
    <xf numFmtId="38" fontId="8" fillId="15" borderId="16" xfId="2" applyFont="1" applyFill="1" applyBorder="1" applyAlignment="1">
      <alignment horizontal="center" vertical="center"/>
    </xf>
    <xf numFmtId="38" fontId="8" fillId="15" borderId="18" xfId="2" applyFont="1" applyFill="1" applyBorder="1" applyAlignment="1">
      <alignment horizontal="center" vertical="center"/>
    </xf>
    <xf numFmtId="0" fontId="8" fillId="0" borderId="1" xfId="0" applyFont="1" applyBorder="1" applyAlignment="1">
      <alignment horizontal="center" vertical="center"/>
    </xf>
    <xf numFmtId="0" fontId="8" fillId="0" borderId="2" xfId="0" applyFont="1" applyBorder="1" applyAlignment="1">
      <alignment horizontal="center" vertical="center"/>
    </xf>
    <xf numFmtId="0" fontId="8" fillId="0" borderId="3" xfId="0" applyFont="1" applyBorder="1" applyAlignment="1">
      <alignment horizontal="center" vertical="center"/>
    </xf>
    <xf numFmtId="0" fontId="8" fillId="0" borderId="13" xfId="0" applyFont="1" applyBorder="1" applyAlignment="1">
      <alignment horizontal="center" vertical="center"/>
    </xf>
    <xf numFmtId="0" fontId="9" fillId="7" borderId="29" xfId="0" applyFont="1" applyFill="1" applyBorder="1" applyAlignment="1">
      <alignment horizontal="center" vertical="center" wrapText="1"/>
    </xf>
    <xf numFmtId="38" fontId="8" fillId="7" borderId="1" xfId="2" applyFont="1" applyFill="1" applyBorder="1" applyAlignment="1" applyProtection="1">
      <alignment horizontal="center" vertical="top" wrapText="1"/>
    </xf>
    <xf numFmtId="38" fontId="8" fillId="7" borderId="2" xfId="2" applyFont="1" applyFill="1" applyBorder="1" applyAlignment="1" applyProtection="1">
      <alignment horizontal="center" vertical="top" wrapText="1"/>
    </xf>
    <xf numFmtId="38" fontId="8" fillId="7" borderId="4" xfId="2" applyFont="1" applyFill="1" applyBorder="1" applyAlignment="1" applyProtection="1">
      <alignment horizontal="center" vertical="top" wrapText="1"/>
    </xf>
    <xf numFmtId="38" fontId="8" fillId="7" borderId="0" xfId="2" applyFont="1" applyFill="1" applyBorder="1" applyAlignment="1" applyProtection="1">
      <alignment horizontal="center" vertical="top" wrapText="1"/>
    </xf>
    <xf numFmtId="38" fontId="8" fillId="7" borderId="11" xfId="2" applyFont="1" applyFill="1" applyBorder="1" applyAlignment="1" applyProtection="1">
      <alignment horizontal="center" vertical="top" wrapText="1"/>
    </xf>
    <xf numFmtId="38" fontId="8" fillId="7" borderId="12" xfId="2" applyFont="1" applyFill="1" applyBorder="1" applyAlignment="1" applyProtection="1">
      <alignment horizontal="center" vertical="top" wrapText="1"/>
    </xf>
    <xf numFmtId="0" fontId="25" fillId="7" borderId="30" xfId="0" applyFont="1" applyFill="1" applyBorder="1" applyAlignment="1">
      <alignment horizontal="center" vertical="center" wrapText="1"/>
    </xf>
    <xf numFmtId="0" fontId="25" fillId="7" borderId="23" xfId="0" applyFont="1" applyFill="1" applyBorder="1" applyAlignment="1">
      <alignment horizontal="center" vertical="center" wrapText="1"/>
    </xf>
    <xf numFmtId="0" fontId="25" fillId="7" borderId="29" xfId="0" applyFont="1" applyFill="1" applyBorder="1" applyAlignment="1">
      <alignment horizontal="center" vertical="center"/>
    </xf>
    <xf numFmtId="0" fontId="76" fillId="0" borderId="0" xfId="1" applyFont="1" applyFill="1" applyAlignment="1" applyProtection="1">
      <alignment horizontal="center" vertical="center" wrapText="1"/>
    </xf>
    <xf numFmtId="0" fontId="13" fillId="0" borderId="0" xfId="1" applyFont="1" applyFill="1" applyAlignment="1" applyProtection="1">
      <alignment horizontal="center" vertical="center" wrapText="1"/>
    </xf>
    <xf numFmtId="0" fontId="8" fillId="7" borderId="30" xfId="0" applyFont="1" applyFill="1" applyBorder="1" applyAlignment="1">
      <alignment horizontal="center" vertical="center"/>
    </xf>
    <xf numFmtId="0" fontId="8" fillId="7" borderId="23" xfId="0" applyFont="1" applyFill="1" applyBorder="1" applyAlignment="1">
      <alignment horizontal="center" vertical="center"/>
    </xf>
    <xf numFmtId="0" fontId="9" fillId="0" borderId="17" xfId="0" applyFont="1" applyBorder="1" applyAlignment="1">
      <alignment horizontal="center" vertical="center"/>
    </xf>
    <xf numFmtId="0" fontId="9" fillId="0" borderId="29" xfId="0" applyFont="1" applyBorder="1" applyAlignment="1">
      <alignment horizontal="center" vertical="center"/>
    </xf>
    <xf numFmtId="0" fontId="9" fillId="0" borderId="16" xfId="0" applyFont="1" applyBorder="1" applyAlignment="1">
      <alignment horizontal="center" vertical="center"/>
    </xf>
    <xf numFmtId="0" fontId="66" fillId="0" borderId="29" xfId="0" applyFont="1" applyBorder="1" applyAlignment="1">
      <alignment horizontal="left" vertical="center"/>
    </xf>
    <xf numFmtId="0" fontId="25" fillId="0" borderId="29" xfId="0" applyFont="1" applyBorder="1" applyAlignment="1">
      <alignment horizontal="left" vertical="center"/>
    </xf>
    <xf numFmtId="0" fontId="8" fillId="0" borderId="13" xfId="0" applyFont="1" applyBorder="1" applyAlignment="1">
      <alignment horizontal="center" wrapText="1"/>
    </xf>
    <xf numFmtId="0" fontId="8" fillId="0" borderId="23" xfId="0" applyFont="1" applyBorder="1" applyAlignment="1">
      <alignment horizontal="center" wrapText="1"/>
    </xf>
    <xf numFmtId="0" fontId="8" fillId="0" borderId="29" xfId="0" applyFont="1" applyBorder="1" applyAlignment="1">
      <alignment horizontal="left" vertical="center"/>
    </xf>
    <xf numFmtId="0" fontId="8" fillId="0" borderId="23" xfId="0" applyFont="1" applyBorder="1" applyAlignment="1">
      <alignment horizontal="left" vertical="center"/>
    </xf>
    <xf numFmtId="0" fontId="9" fillId="0" borderId="29" xfId="0" applyFont="1" applyBorder="1" applyAlignment="1">
      <alignment horizontal="left" vertical="center"/>
    </xf>
    <xf numFmtId="0" fontId="9" fillId="0" borderId="23" xfId="0" applyFont="1" applyBorder="1" applyAlignment="1">
      <alignment horizontal="left" vertical="center"/>
    </xf>
    <xf numFmtId="0" fontId="10" fillId="7" borderId="29" xfId="0" applyFont="1" applyFill="1" applyBorder="1" applyAlignment="1">
      <alignment horizontal="center" vertical="center"/>
    </xf>
    <xf numFmtId="0" fontId="8" fillId="10" borderId="30" xfId="0" applyFont="1" applyFill="1" applyBorder="1" applyAlignment="1">
      <alignment horizontal="center" vertical="center" textRotation="255" wrapText="1"/>
    </xf>
    <xf numFmtId="0" fontId="8" fillId="10" borderId="31" xfId="0" applyFont="1" applyFill="1" applyBorder="1" applyAlignment="1">
      <alignment horizontal="center" vertical="center" textRotation="255" wrapText="1"/>
    </xf>
    <xf numFmtId="0" fontId="8" fillId="10" borderId="23" xfId="0" applyFont="1" applyFill="1" applyBorder="1" applyAlignment="1">
      <alignment horizontal="center" vertical="center" textRotation="255" wrapText="1"/>
    </xf>
    <xf numFmtId="0" fontId="27" fillId="0" borderId="16" xfId="0" applyFont="1" applyBorder="1" applyAlignment="1">
      <alignment horizontal="center" vertical="center"/>
    </xf>
    <xf numFmtId="0" fontId="27" fillId="0" borderId="18" xfId="0" applyFont="1" applyBorder="1" applyAlignment="1">
      <alignment horizontal="center" vertical="center"/>
    </xf>
    <xf numFmtId="0" fontId="27" fillId="0" borderId="17" xfId="0" applyFont="1" applyBorder="1" applyAlignment="1">
      <alignment horizontal="center" vertical="center"/>
    </xf>
    <xf numFmtId="0" fontId="8" fillId="7" borderId="11" xfId="0" applyFont="1" applyFill="1" applyBorder="1" applyAlignment="1">
      <alignment horizontal="center" vertical="center" wrapText="1"/>
    </xf>
    <xf numFmtId="0" fontId="8" fillId="7" borderId="12" xfId="0" applyFont="1" applyFill="1" applyBorder="1" applyAlignment="1">
      <alignment horizontal="center" vertical="center" wrapText="1"/>
    </xf>
    <xf numFmtId="0" fontId="8" fillId="7" borderId="13" xfId="0" applyFont="1" applyFill="1" applyBorder="1" applyAlignment="1">
      <alignment horizontal="center" vertical="center" wrapText="1"/>
    </xf>
    <xf numFmtId="0" fontId="29" fillId="0" borderId="1" xfId="0" applyFont="1" applyBorder="1" applyAlignment="1">
      <alignment horizontal="center" vertical="center"/>
    </xf>
    <xf numFmtId="0" fontId="29" fillId="0" borderId="3" xfId="0" applyFont="1" applyBorder="1" applyAlignment="1">
      <alignment horizontal="center" vertical="center"/>
    </xf>
    <xf numFmtId="0" fontId="29" fillId="0" borderId="11" xfId="0" applyFont="1" applyBorder="1" applyAlignment="1">
      <alignment horizontal="center" vertical="center"/>
    </xf>
    <xf numFmtId="0" fontId="29" fillId="0" borderId="13" xfId="0" applyFont="1" applyBorder="1" applyAlignment="1">
      <alignment horizontal="center" vertical="center"/>
    </xf>
    <xf numFmtId="0" fontId="8" fillId="7" borderId="16" xfId="0" applyFont="1" applyFill="1" applyBorder="1" applyAlignment="1">
      <alignment horizontal="center" vertical="center"/>
    </xf>
    <xf numFmtId="0" fontId="8" fillId="7" borderId="18" xfId="0" applyFont="1" applyFill="1" applyBorder="1" applyAlignment="1">
      <alignment horizontal="center" vertical="center"/>
    </xf>
    <xf numFmtId="0" fontId="8" fillId="7" borderId="17" xfId="0" applyFont="1" applyFill="1" applyBorder="1" applyAlignment="1">
      <alignment horizontal="center" vertical="center"/>
    </xf>
    <xf numFmtId="184" fontId="8" fillId="0" borderId="0" xfId="2" applyNumberFormat="1" applyFont="1" applyFill="1" applyBorder="1" applyAlignment="1" applyProtection="1">
      <alignment horizontal="center" vertical="center"/>
    </xf>
    <xf numFmtId="38" fontId="8" fillId="0" borderId="0" xfId="2" applyFont="1" applyBorder="1" applyAlignment="1" applyProtection="1">
      <alignment horizontal="center" vertical="center"/>
    </xf>
    <xf numFmtId="0" fontId="8" fillId="0" borderId="0" xfId="0" applyFont="1" applyAlignment="1">
      <alignment horizontal="left" vertical="center"/>
    </xf>
    <xf numFmtId="0" fontId="11" fillId="0" borderId="0" xfId="0" applyFont="1" applyAlignment="1">
      <alignment horizontal="center" vertical="center"/>
    </xf>
    <xf numFmtId="0" fontId="11" fillId="0" borderId="12" xfId="0" applyFont="1" applyBorder="1" applyAlignment="1">
      <alignment horizontal="center" vertical="center"/>
    </xf>
    <xf numFmtId="0" fontId="8" fillId="0" borderId="74" xfId="0" applyFont="1" applyBorder="1" applyAlignment="1">
      <alignment horizontal="center" vertical="center"/>
    </xf>
    <xf numFmtId="0" fontId="8" fillId="0" borderId="73" xfId="0" applyFont="1" applyBorder="1" applyAlignment="1">
      <alignment horizontal="center" vertical="center"/>
    </xf>
    <xf numFmtId="0" fontId="8" fillId="0" borderId="71" xfId="0" applyFont="1" applyBorder="1" applyAlignment="1">
      <alignment horizontal="center" vertical="center"/>
    </xf>
    <xf numFmtId="0" fontId="8" fillId="0" borderId="72" xfId="0" applyFont="1" applyBorder="1" applyAlignment="1">
      <alignment horizontal="center" vertical="center"/>
    </xf>
    <xf numFmtId="0" fontId="9" fillId="7" borderId="1" xfId="0" applyFont="1" applyFill="1" applyBorder="1" applyAlignment="1">
      <alignment horizontal="center" vertical="center"/>
    </xf>
    <xf numFmtId="0" fontId="9" fillId="7" borderId="3" xfId="0" applyFont="1" applyFill="1" applyBorder="1" applyAlignment="1">
      <alignment horizontal="center" vertical="center"/>
    </xf>
    <xf numFmtId="0" fontId="11" fillId="7" borderId="29" xfId="0" applyFont="1" applyFill="1" applyBorder="1" applyAlignment="1">
      <alignment horizontal="center" vertical="center" wrapText="1"/>
    </xf>
    <xf numFmtId="0" fontId="9" fillId="7" borderId="16" xfId="0" applyFont="1" applyFill="1" applyBorder="1" applyAlignment="1">
      <alignment horizontal="center" vertical="center"/>
    </xf>
    <xf numFmtId="0" fontId="9" fillId="7" borderId="17" xfId="0" applyFont="1" applyFill="1" applyBorder="1" applyAlignment="1">
      <alignment horizontal="center" vertic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5" borderId="0" xfId="0" applyFont="1" applyFill="1" applyAlignment="1">
      <alignment horizontal="left" vertical="center"/>
    </xf>
    <xf numFmtId="183" fontId="78" fillId="27" borderId="16" xfId="0" applyNumberFormat="1" applyFont="1" applyFill="1" applyBorder="1" applyAlignment="1">
      <alignment horizontal="center" vertical="center"/>
    </xf>
    <xf numFmtId="183" fontId="75" fillId="27" borderId="18" xfId="0" applyNumberFormat="1" applyFont="1" applyFill="1" applyBorder="1" applyAlignment="1">
      <alignment horizontal="center" vertical="center"/>
    </xf>
    <xf numFmtId="0" fontId="74" fillId="9" borderId="4" xfId="0" applyFont="1" applyFill="1" applyBorder="1" applyAlignment="1">
      <alignment horizontal="center" vertical="center" textRotation="255" wrapText="1"/>
    </xf>
    <xf numFmtId="0" fontId="74" fillId="9" borderId="11" xfId="0" applyFont="1" applyFill="1" applyBorder="1" applyAlignment="1">
      <alignment horizontal="center" vertical="center" textRotation="255" wrapText="1"/>
    </xf>
    <xf numFmtId="0" fontId="10" fillId="7" borderId="18" xfId="0" applyFont="1" applyFill="1" applyBorder="1" applyAlignment="1">
      <alignment vertical="center" wrapText="1"/>
    </xf>
    <xf numFmtId="0" fontId="10" fillId="7" borderId="17" xfId="0" applyFont="1" applyFill="1" applyBorder="1" applyAlignment="1">
      <alignment vertical="center" wrapText="1"/>
    </xf>
    <xf numFmtId="0" fontId="8" fillId="15" borderId="16" xfId="0" applyFont="1" applyFill="1" applyBorder="1" applyAlignment="1">
      <alignment horizontal="center" vertical="center"/>
    </xf>
    <xf numFmtId="0" fontId="8" fillId="15" borderId="17" xfId="0" applyFont="1" applyFill="1" applyBorder="1" applyAlignment="1">
      <alignment horizontal="center" vertical="center"/>
    </xf>
    <xf numFmtId="0" fontId="8" fillId="7" borderId="29" xfId="0" applyFont="1" applyFill="1" applyBorder="1" applyAlignment="1">
      <alignment horizontal="center" vertical="center" wrapText="1"/>
    </xf>
    <xf numFmtId="183" fontId="73" fillId="25" borderId="16" xfId="0" applyNumberFormat="1" applyFont="1" applyFill="1" applyBorder="1" applyAlignment="1">
      <alignment horizontal="center" vertical="center"/>
    </xf>
    <xf numFmtId="183" fontId="72" fillId="25" borderId="18" xfId="0" applyNumberFormat="1" applyFont="1" applyFill="1" applyBorder="1" applyAlignment="1">
      <alignment horizontal="center" vertical="center"/>
    </xf>
    <xf numFmtId="0" fontId="8" fillId="7" borderId="30" xfId="0" applyFont="1" applyFill="1" applyBorder="1" applyAlignment="1">
      <alignment horizontal="center" vertical="center" textRotation="255"/>
    </xf>
    <xf numFmtId="0" fontId="8" fillId="7" borderId="31" xfId="0" applyFont="1" applyFill="1" applyBorder="1" applyAlignment="1">
      <alignment horizontal="center" vertical="center" textRotation="255"/>
    </xf>
    <xf numFmtId="0" fontId="8" fillId="7" borderId="23" xfId="0" applyFont="1" applyFill="1" applyBorder="1" applyAlignment="1">
      <alignment horizontal="center" vertical="center" textRotation="255"/>
    </xf>
    <xf numFmtId="183" fontId="75" fillId="15" borderId="16" xfId="0" applyNumberFormat="1" applyFont="1" applyFill="1" applyBorder="1" applyAlignment="1">
      <alignment horizontal="center" vertical="center"/>
    </xf>
    <xf numFmtId="183" fontId="75" fillId="15" borderId="18" xfId="0" applyNumberFormat="1" applyFont="1" applyFill="1" applyBorder="1" applyAlignment="1">
      <alignment horizontal="center" vertical="center"/>
    </xf>
    <xf numFmtId="0" fontId="9" fillId="7" borderId="16" xfId="0" applyFont="1" applyFill="1" applyBorder="1" applyAlignment="1">
      <alignment horizontal="left" vertical="top"/>
    </xf>
    <xf numFmtId="0" fontId="9" fillId="7" borderId="17" xfId="0" applyFont="1" applyFill="1" applyBorder="1" applyAlignment="1">
      <alignment horizontal="left" vertical="top"/>
    </xf>
    <xf numFmtId="0" fontId="8" fillId="5" borderId="0" xfId="0" applyFont="1" applyFill="1" applyAlignment="1">
      <alignment horizontal="center" vertical="center" wrapText="1"/>
    </xf>
    <xf numFmtId="0" fontId="8" fillId="5" borderId="0" xfId="0" applyFont="1" applyFill="1" applyAlignment="1">
      <alignment horizontal="center" vertical="center"/>
    </xf>
    <xf numFmtId="0" fontId="9" fillId="7" borderId="1" xfId="0" applyFont="1" applyFill="1" applyBorder="1" applyAlignment="1">
      <alignment horizontal="left" vertical="top"/>
    </xf>
    <xf numFmtId="0" fontId="9" fillId="7" borderId="3" xfId="0" applyFont="1" applyFill="1" applyBorder="1" applyAlignment="1">
      <alignment horizontal="left" vertical="top"/>
    </xf>
    <xf numFmtId="0" fontId="9" fillId="7" borderId="4" xfId="0" applyFont="1" applyFill="1" applyBorder="1" applyAlignment="1">
      <alignment horizontal="left" vertical="top"/>
    </xf>
    <xf numFmtId="0" fontId="9" fillId="7" borderId="5" xfId="0" applyFont="1" applyFill="1" applyBorder="1" applyAlignment="1">
      <alignment horizontal="left" vertical="top"/>
    </xf>
    <xf numFmtId="0" fontId="25" fillId="7" borderId="16" xfId="0" applyFont="1" applyFill="1" applyBorder="1" applyAlignment="1">
      <alignment horizontal="center" vertical="center" wrapText="1"/>
    </xf>
    <xf numFmtId="0" fontId="25" fillId="7" borderId="18" xfId="0" applyFont="1" applyFill="1" applyBorder="1" applyAlignment="1">
      <alignment horizontal="center" vertical="center" wrapText="1"/>
    </xf>
    <xf numFmtId="0" fontId="25" fillId="7" borderId="17" xfId="0" applyFont="1" applyFill="1" applyBorder="1" applyAlignment="1">
      <alignment horizontal="center" vertical="center" wrapText="1"/>
    </xf>
    <xf numFmtId="183" fontId="79" fillId="26" borderId="1" xfId="0" applyNumberFormat="1" applyFont="1" applyFill="1" applyBorder="1" applyAlignment="1">
      <alignment horizontal="center" vertical="center" wrapText="1"/>
    </xf>
    <xf numFmtId="183" fontId="25" fillId="26" borderId="2" xfId="0" applyNumberFormat="1" applyFont="1" applyFill="1" applyBorder="1" applyAlignment="1">
      <alignment horizontal="center" vertical="center"/>
    </xf>
    <xf numFmtId="183" fontId="25" fillId="26" borderId="11" xfId="0" applyNumberFormat="1" applyFont="1" applyFill="1" applyBorder="1" applyAlignment="1">
      <alignment horizontal="center" vertical="center"/>
    </xf>
    <xf numFmtId="183" fontId="25" fillId="26" borderId="12" xfId="0" applyNumberFormat="1" applyFont="1" applyFill="1" applyBorder="1" applyAlignment="1">
      <alignment horizontal="center" vertical="center"/>
    </xf>
    <xf numFmtId="0" fontId="8" fillId="7" borderId="30" xfId="0" applyFont="1" applyFill="1" applyBorder="1" applyAlignment="1">
      <alignment horizontal="center" vertical="center" textRotation="255" wrapText="1"/>
    </xf>
    <xf numFmtId="0" fontId="8" fillId="7" borderId="31" xfId="0" applyFont="1" applyFill="1" applyBorder="1" applyAlignment="1">
      <alignment horizontal="center" vertical="center" textRotation="255" wrapText="1"/>
    </xf>
    <xf numFmtId="0" fontId="8" fillId="7" borderId="23" xfId="0" applyFont="1" applyFill="1" applyBorder="1" applyAlignment="1">
      <alignment horizontal="center" vertical="center" textRotation="255" wrapText="1"/>
    </xf>
    <xf numFmtId="0" fontId="10" fillId="7" borderId="2" xfId="0" applyFont="1" applyFill="1" applyBorder="1" applyAlignment="1">
      <alignment vertical="center" wrapText="1"/>
    </xf>
    <xf numFmtId="0" fontId="10" fillId="7" borderId="12" xfId="0" applyFont="1" applyFill="1" applyBorder="1" applyAlignment="1">
      <alignment vertical="center" wrapText="1"/>
    </xf>
    <xf numFmtId="0" fontId="10" fillId="7" borderId="0" xfId="0" applyFont="1" applyFill="1" applyAlignment="1">
      <alignment horizontal="center" vertical="center" wrapText="1"/>
    </xf>
    <xf numFmtId="0" fontId="10" fillId="7" borderId="12" xfId="0" applyFont="1" applyFill="1" applyBorder="1" applyAlignment="1">
      <alignment horizontal="center" vertical="center" wrapText="1"/>
    </xf>
    <xf numFmtId="0" fontId="8" fillId="7" borderId="16" xfId="0" applyFont="1" applyFill="1" applyBorder="1" applyAlignment="1">
      <alignment horizontal="left" vertical="center" wrapText="1"/>
    </xf>
    <xf numFmtId="0" fontId="8" fillId="7" borderId="18" xfId="0" applyFont="1" applyFill="1" applyBorder="1" applyAlignment="1">
      <alignment horizontal="left" vertical="center" wrapText="1"/>
    </xf>
    <xf numFmtId="0" fontId="8" fillId="7" borderId="17" xfId="0" applyFont="1" applyFill="1" applyBorder="1" applyAlignment="1">
      <alignment horizontal="left" vertical="center" wrapText="1"/>
    </xf>
    <xf numFmtId="0" fontId="8" fillId="11" borderId="16" xfId="0" applyFont="1" applyFill="1" applyBorder="1" applyAlignment="1">
      <alignment horizontal="center" vertical="center"/>
    </xf>
    <xf numFmtId="0" fontId="8" fillId="11" borderId="17" xfId="0" applyFont="1" applyFill="1" applyBorder="1" applyAlignment="1">
      <alignment horizontal="center" vertical="center"/>
    </xf>
    <xf numFmtId="0" fontId="11" fillId="7" borderId="1" xfId="0" applyFont="1" applyFill="1" applyBorder="1" applyAlignment="1">
      <alignment horizontal="center" vertical="center" wrapText="1"/>
    </xf>
    <xf numFmtId="0" fontId="11" fillId="7" borderId="2" xfId="0" applyFont="1" applyFill="1" applyBorder="1" applyAlignment="1">
      <alignment horizontal="center" vertical="center" wrapText="1"/>
    </xf>
    <xf numFmtId="0" fontId="11" fillId="7" borderId="3" xfId="0" applyFont="1" applyFill="1" applyBorder="1" applyAlignment="1">
      <alignment horizontal="center" vertical="center" wrapText="1"/>
    </xf>
    <xf numFmtId="183" fontId="8" fillId="15" borderId="16" xfId="0" applyNumberFormat="1" applyFont="1" applyFill="1" applyBorder="1" applyAlignment="1">
      <alignment horizontal="center" vertical="center"/>
    </xf>
    <xf numFmtId="183" fontId="8" fillId="15" borderId="18" xfId="0" applyNumberFormat="1" applyFont="1" applyFill="1" applyBorder="1" applyAlignment="1">
      <alignment horizontal="center" vertical="center"/>
    </xf>
    <xf numFmtId="0" fontId="9" fillId="11" borderId="29" xfId="0" applyFont="1" applyFill="1" applyBorder="1" applyAlignment="1">
      <alignment horizontal="center" vertical="center" wrapText="1"/>
    </xf>
    <xf numFmtId="0" fontId="9" fillId="11" borderId="29" xfId="0" applyFont="1" applyFill="1" applyBorder="1" applyAlignment="1">
      <alignment horizontal="center" vertical="center"/>
    </xf>
    <xf numFmtId="0" fontId="8" fillId="4" borderId="29" xfId="0" applyFont="1" applyFill="1" applyBorder="1" applyAlignment="1">
      <alignment horizontal="center" vertical="center" wrapText="1"/>
    </xf>
    <xf numFmtId="0" fontId="8" fillId="11" borderId="29" xfId="0" applyFont="1" applyFill="1" applyBorder="1" applyAlignment="1">
      <alignment horizontal="center" vertical="center" textRotation="255"/>
    </xf>
    <xf numFmtId="0" fontId="8" fillId="5" borderId="29" xfId="0" applyFont="1" applyFill="1" applyBorder="1" applyAlignment="1">
      <alignment horizontal="left" vertical="center"/>
    </xf>
    <xf numFmtId="0" fontId="8" fillId="15" borderId="1" xfId="0" applyFont="1" applyFill="1" applyBorder="1" applyAlignment="1">
      <alignment horizontal="center" vertical="top"/>
    </xf>
    <xf numFmtId="0" fontId="8" fillId="15" borderId="3" xfId="0" applyFont="1" applyFill="1" applyBorder="1" applyAlignment="1">
      <alignment horizontal="center" vertical="top"/>
    </xf>
    <xf numFmtId="0" fontId="8" fillId="15" borderId="4" xfId="0" applyFont="1" applyFill="1" applyBorder="1" applyAlignment="1">
      <alignment horizontal="center" vertical="top"/>
    </xf>
    <xf numFmtId="0" fontId="8" fillId="15" borderId="5" xfId="0" applyFont="1" applyFill="1" applyBorder="1" applyAlignment="1">
      <alignment horizontal="center" vertical="top"/>
    </xf>
    <xf numFmtId="0" fontId="8" fillId="15" borderId="11" xfId="0" applyFont="1" applyFill="1" applyBorder="1" applyAlignment="1">
      <alignment horizontal="center" vertical="top"/>
    </xf>
    <xf numFmtId="0" fontId="8" fillId="15" borderId="13" xfId="0" applyFont="1" applyFill="1" applyBorder="1" applyAlignment="1">
      <alignment horizontal="center" vertical="top"/>
    </xf>
    <xf numFmtId="0" fontId="48" fillId="0" borderId="0" xfId="0" applyFont="1" applyAlignment="1">
      <alignment horizontal="left"/>
    </xf>
    <xf numFmtId="0" fontId="9" fillId="7" borderId="29" xfId="0" applyFont="1" applyFill="1" applyBorder="1" applyAlignment="1">
      <alignment horizontal="center" vertical="center"/>
    </xf>
    <xf numFmtId="0" fontId="9" fillId="7" borderId="18" xfId="0" applyFont="1" applyFill="1" applyBorder="1" applyAlignment="1">
      <alignment horizontal="center" vertical="center"/>
    </xf>
    <xf numFmtId="0" fontId="8" fillId="24" borderId="29" xfId="0" applyFont="1" applyFill="1" applyBorder="1" applyAlignment="1">
      <alignment horizontal="center" vertical="center"/>
    </xf>
    <xf numFmtId="0" fontId="8" fillId="11" borderId="29" xfId="0" applyFont="1" applyFill="1" applyBorder="1" applyAlignment="1">
      <alignment horizontal="center" vertical="top" textRotation="255" wrapText="1"/>
    </xf>
    <xf numFmtId="0" fontId="10" fillId="11" borderId="29" xfId="0" applyFont="1" applyFill="1" applyBorder="1" applyAlignment="1">
      <alignment horizontal="center" vertical="center"/>
    </xf>
    <xf numFmtId="0" fontId="77" fillId="6" borderId="0" xfId="0" applyFont="1" applyFill="1" applyAlignment="1">
      <alignment horizontal="center" vertical="center"/>
    </xf>
    <xf numFmtId="0" fontId="8" fillId="9" borderId="1" xfId="0" applyFont="1" applyFill="1" applyBorder="1" applyAlignment="1">
      <alignment horizontal="center" vertical="top" textRotation="255"/>
    </xf>
    <xf numFmtId="0" fontId="8" fillId="9" borderId="4" xfId="0" applyFont="1" applyFill="1" applyBorder="1" applyAlignment="1">
      <alignment horizontal="center" vertical="top" textRotation="255"/>
    </xf>
    <xf numFmtId="178" fontId="37" fillId="15" borderId="0" xfId="3" applyNumberFormat="1" applyFont="1" applyFill="1" applyAlignment="1">
      <alignment horizontal="left"/>
    </xf>
    <xf numFmtId="0" fontId="37" fillId="0" borderId="0" xfId="3" applyFont="1" applyAlignment="1">
      <alignment horizontal="right"/>
    </xf>
    <xf numFmtId="49" fontId="37" fillId="15" borderId="0" xfId="3" applyNumberFormat="1" applyFont="1" applyFill="1" applyAlignment="1">
      <alignment horizontal="left"/>
    </xf>
    <xf numFmtId="0" fontId="37" fillId="15" borderId="0" xfId="3" applyFont="1" applyFill="1" applyAlignment="1">
      <alignment horizontal="left"/>
    </xf>
    <xf numFmtId="0" fontId="35" fillId="7" borderId="0" xfId="3" applyFont="1" applyFill="1" applyAlignment="1">
      <alignment horizontal="right" vertical="top"/>
    </xf>
    <xf numFmtId="178" fontId="25" fillId="15" borderId="0" xfId="3" applyNumberFormat="1" applyFont="1" applyFill="1" applyAlignment="1">
      <alignment horizontal="left"/>
    </xf>
    <xf numFmtId="178" fontId="38" fillId="15" borderId="0" xfId="3" applyNumberFormat="1" applyFont="1" applyFill="1" applyAlignment="1">
      <alignment horizontal="left"/>
    </xf>
    <xf numFmtId="0" fontId="37" fillId="0" borderId="0" xfId="3" applyFont="1" applyAlignment="1">
      <alignment horizontal="left"/>
    </xf>
    <xf numFmtId="49" fontId="37" fillId="0" borderId="0" xfId="3" applyNumberFormat="1" applyFont="1" applyAlignment="1">
      <alignment horizontal="left"/>
    </xf>
    <xf numFmtId="0" fontId="46" fillId="0" borderId="0" xfId="3" applyFont="1" applyAlignment="1">
      <alignment horizontal="center" vertical="center"/>
    </xf>
    <xf numFmtId="178" fontId="34" fillId="15" borderId="0" xfId="3" applyNumberFormat="1" applyFont="1" applyFill="1" applyAlignment="1">
      <alignment horizontal="center"/>
    </xf>
    <xf numFmtId="0" fontId="25" fillId="15" borderId="0" xfId="3" applyFont="1" applyFill="1" applyAlignment="1">
      <alignment horizontal="center"/>
    </xf>
    <xf numFmtId="178" fontId="38" fillId="15" borderId="0" xfId="3" applyNumberFormat="1" applyFont="1" applyFill="1" applyAlignment="1">
      <alignment horizontal="center"/>
    </xf>
    <xf numFmtId="178" fontId="38" fillId="15" borderId="0" xfId="3" applyNumberFormat="1" applyFont="1" applyFill="1" applyAlignment="1">
      <alignment horizontal="center" wrapText="1"/>
    </xf>
    <xf numFmtId="0" fontId="38" fillId="0" borderId="0" xfId="3" applyFont="1" applyAlignment="1">
      <alignment horizontal="center" wrapText="1"/>
    </xf>
    <xf numFmtId="178" fontId="38" fillId="15" borderId="0" xfId="3" applyNumberFormat="1" applyFont="1" applyFill="1" applyAlignment="1">
      <alignment horizontal="left" wrapText="1"/>
    </xf>
    <xf numFmtId="0" fontId="38" fillId="0" borderId="0" xfId="3" applyFont="1" applyAlignment="1">
      <alignment horizontal="center"/>
    </xf>
    <xf numFmtId="0" fontId="8" fillId="0" borderId="0" xfId="3" applyFont="1" applyAlignment="1">
      <alignment horizontal="center"/>
    </xf>
    <xf numFmtId="14" fontId="27" fillId="0" borderId="0" xfId="3" applyNumberFormat="1" applyFont="1" applyAlignment="1">
      <alignment horizontal="center"/>
    </xf>
    <xf numFmtId="0" fontId="27" fillId="0" borderId="0" xfId="3" applyFont="1" applyAlignment="1">
      <alignment horizontal="left"/>
    </xf>
    <xf numFmtId="0" fontId="119" fillId="0" borderId="0" xfId="3" applyFont="1" applyAlignment="1">
      <alignment horizontal="center"/>
    </xf>
    <xf numFmtId="0" fontId="10" fillId="0" borderId="0" xfId="0" applyFont="1" applyAlignment="1">
      <alignment horizontal="right" vertical="center"/>
    </xf>
    <xf numFmtId="0" fontId="35" fillId="0" borderId="0" xfId="3" applyFont="1" applyAlignment="1">
      <alignment horizontal="center" vertical="center" wrapText="1"/>
    </xf>
    <xf numFmtId="177" fontId="38" fillId="15" borderId="0" xfId="2" applyNumberFormat="1" applyFont="1" applyFill="1" applyBorder="1" applyAlignment="1">
      <alignment horizontal="center"/>
    </xf>
    <xf numFmtId="0" fontId="36" fillId="16" borderId="29" xfId="3" applyFont="1" applyFill="1" applyBorder="1" applyAlignment="1">
      <alignment horizontal="center"/>
    </xf>
    <xf numFmtId="0" fontId="37" fillId="0" borderId="0" xfId="3" applyFont="1" applyAlignment="1">
      <alignment horizontal="center"/>
    </xf>
    <xf numFmtId="0" fontId="61" fillId="0" borderId="0" xfId="0" applyFont="1" applyAlignment="1">
      <alignment horizontal="left"/>
    </xf>
    <xf numFmtId="178" fontId="61" fillId="15" borderId="0" xfId="0" applyNumberFormat="1" applyFont="1" applyFill="1" applyAlignment="1">
      <alignment horizontal="left"/>
    </xf>
    <xf numFmtId="0" fontId="117" fillId="0" borderId="0" xfId="3" applyFont="1" applyAlignment="1">
      <alignment horizontal="left" vertical="top" wrapText="1"/>
    </xf>
    <xf numFmtId="0" fontId="117" fillId="0" borderId="50" xfId="3" applyFont="1" applyBorder="1" applyAlignment="1">
      <alignment horizontal="left" vertical="top" wrapText="1"/>
    </xf>
    <xf numFmtId="179" fontId="98" fillId="0" borderId="6" xfId="5" applyFont="1" applyBorder="1" applyAlignment="1">
      <alignment horizontal="center" vertical="center"/>
    </xf>
    <xf numFmtId="179" fontId="94" fillId="0" borderId="32" xfId="5" applyFont="1" applyBorder="1" applyAlignment="1">
      <alignment horizontal="center" vertical="center"/>
    </xf>
    <xf numFmtId="56" fontId="101" fillId="8" borderId="6" xfId="5" applyNumberFormat="1" applyFont="1" applyFill="1" applyBorder="1" applyAlignment="1">
      <alignment horizontal="center" vertical="center"/>
    </xf>
    <xf numFmtId="56" fontId="101" fillId="8" borderId="7" xfId="5" applyNumberFormat="1" applyFont="1" applyFill="1" applyBorder="1" applyAlignment="1">
      <alignment horizontal="center" vertical="center"/>
    </xf>
    <xf numFmtId="56" fontId="101" fillId="8" borderId="32" xfId="5" applyNumberFormat="1" applyFont="1" applyFill="1" applyBorder="1" applyAlignment="1">
      <alignment horizontal="center" vertical="center"/>
    </xf>
    <xf numFmtId="179" fontId="84" fillId="0" borderId="0" xfId="5" applyFont="1" applyAlignment="1">
      <alignment horizontal="left"/>
    </xf>
    <xf numFmtId="179" fontId="105" fillId="0" borderId="60" xfId="5" applyFont="1" applyBorder="1" applyAlignment="1">
      <alignment horizontal="center" vertical="center" textRotation="255"/>
    </xf>
    <xf numFmtId="179" fontId="105" fillId="0" borderId="61" xfId="5" applyFont="1" applyBorder="1" applyAlignment="1">
      <alignment horizontal="center" vertical="center" textRotation="255"/>
    </xf>
    <xf numFmtId="179" fontId="105" fillId="0" borderId="62" xfId="5" applyFont="1" applyBorder="1" applyAlignment="1">
      <alignment horizontal="center" vertical="center" textRotation="255"/>
    </xf>
    <xf numFmtId="178" fontId="107" fillId="15" borderId="7" xfId="5" applyNumberFormat="1" applyFont="1" applyFill="1" applyBorder="1" applyAlignment="1">
      <alignment horizontal="center" vertical="center"/>
    </xf>
    <xf numFmtId="178" fontId="107" fillId="15" borderId="9" xfId="5" applyNumberFormat="1" applyFont="1" applyFill="1" applyBorder="1" applyAlignment="1">
      <alignment horizontal="left" vertical="center"/>
    </xf>
    <xf numFmtId="178" fontId="107" fillId="15" borderId="10" xfId="5" applyNumberFormat="1" applyFont="1" applyFill="1" applyBorder="1" applyAlignment="1">
      <alignment horizontal="left" vertical="center"/>
    </xf>
    <xf numFmtId="178" fontId="107" fillId="15" borderId="8" xfId="5" applyNumberFormat="1" applyFont="1" applyFill="1" applyBorder="1" applyAlignment="1">
      <alignment horizontal="left" vertical="center"/>
    </xf>
    <xf numFmtId="178" fontId="107" fillId="15" borderId="34" xfId="5" applyNumberFormat="1" applyFont="1" applyFill="1" applyBorder="1" applyAlignment="1">
      <alignment horizontal="left" vertical="center"/>
    </xf>
    <xf numFmtId="178" fontId="107" fillId="15" borderId="19" xfId="5" applyNumberFormat="1" applyFont="1" applyFill="1" applyBorder="1" applyAlignment="1">
      <alignment horizontal="left" vertical="center"/>
    </xf>
    <xf numFmtId="178" fontId="107" fillId="15" borderId="35" xfId="5" applyNumberFormat="1" applyFont="1" applyFill="1" applyBorder="1" applyAlignment="1">
      <alignment horizontal="left" vertical="center"/>
    </xf>
    <xf numFmtId="178" fontId="107" fillId="15" borderId="6" xfId="5" applyNumberFormat="1" applyFont="1" applyFill="1" applyBorder="1" applyAlignment="1">
      <alignment horizontal="left" vertical="center"/>
    </xf>
    <xf numFmtId="178" fontId="107" fillId="15" borderId="7" xfId="5" applyNumberFormat="1" applyFont="1" applyFill="1" applyBorder="1" applyAlignment="1">
      <alignment horizontal="left" vertical="center"/>
    </xf>
    <xf numFmtId="178" fontId="107" fillId="15" borderId="33" xfId="5" applyNumberFormat="1" applyFont="1" applyFill="1" applyBorder="1" applyAlignment="1">
      <alignment horizontal="left" vertical="center"/>
    </xf>
    <xf numFmtId="179" fontId="100" fillId="0" borderId="60" xfId="5" applyFont="1" applyBorder="1" applyAlignment="1">
      <alignment horizontal="center" vertical="center" textRotation="255"/>
    </xf>
    <xf numFmtId="179" fontId="100" fillId="0" borderId="62" xfId="5" applyFont="1" applyBorder="1" applyAlignment="1">
      <alignment horizontal="center" vertical="center" textRotation="255"/>
    </xf>
    <xf numFmtId="179" fontId="108" fillId="0" borderId="10" xfId="5" applyFont="1" applyBorder="1" applyAlignment="1">
      <alignment horizontal="left" vertical="center" wrapText="1"/>
    </xf>
    <xf numFmtId="179" fontId="108" fillId="0" borderId="8" xfId="5" applyFont="1" applyBorder="1" applyAlignment="1">
      <alignment horizontal="left" vertical="center" wrapText="1"/>
    </xf>
    <xf numFmtId="179" fontId="108" fillId="0" borderId="19" xfId="5" applyFont="1" applyBorder="1" applyAlignment="1">
      <alignment horizontal="left" vertical="center" wrapText="1"/>
    </xf>
    <xf numFmtId="179" fontId="108" fillId="0" borderId="35" xfId="5" applyFont="1" applyBorder="1" applyAlignment="1">
      <alignment horizontal="left" vertical="center" wrapText="1"/>
    </xf>
    <xf numFmtId="178" fontId="107" fillId="15" borderId="9" xfId="5" applyNumberFormat="1" applyFont="1" applyFill="1" applyBorder="1" applyAlignment="1">
      <alignment horizontal="center" vertical="center" wrapText="1"/>
    </xf>
    <xf numFmtId="178" fontId="107" fillId="15" borderId="10" xfId="5" applyNumberFormat="1" applyFont="1" applyFill="1" applyBorder="1" applyAlignment="1">
      <alignment horizontal="center" vertical="center"/>
    </xf>
    <xf numFmtId="178" fontId="107" fillId="15" borderId="34" xfId="5" applyNumberFormat="1" applyFont="1" applyFill="1" applyBorder="1" applyAlignment="1">
      <alignment horizontal="center" vertical="center"/>
    </xf>
    <xf numFmtId="178" fontId="107" fillId="15" borderId="19" xfId="5" applyNumberFormat="1" applyFont="1" applyFill="1" applyBorder="1" applyAlignment="1">
      <alignment horizontal="center" vertical="center"/>
    </xf>
    <xf numFmtId="178" fontId="107" fillId="15" borderId="33" xfId="5" applyNumberFormat="1" applyFont="1" applyFill="1" applyBorder="1" applyAlignment="1">
      <alignment horizontal="center" vertical="center"/>
    </xf>
    <xf numFmtId="179" fontId="89" fillId="0" borderId="60" xfId="5" applyFont="1" applyBorder="1" applyAlignment="1">
      <alignment horizontal="center" vertical="center" textRotation="255"/>
    </xf>
    <xf numFmtId="179" fontId="89" fillId="0" borderId="61" xfId="5" applyFont="1" applyBorder="1" applyAlignment="1">
      <alignment horizontal="center" vertical="center" textRotation="255"/>
    </xf>
    <xf numFmtId="179" fontId="89" fillId="0" borderId="62" xfId="5" applyFont="1" applyBorder="1" applyAlignment="1">
      <alignment horizontal="center" vertical="center" textRotation="255"/>
    </xf>
    <xf numFmtId="179" fontId="84" fillId="0" borderId="7" xfId="5" applyFont="1" applyBorder="1" applyAlignment="1">
      <alignment horizontal="center" vertical="center"/>
    </xf>
    <xf numFmtId="179" fontId="94" fillId="0" borderId="36" xfId="5" applyFont="1" applyBorder="1" applyAlignment="1">
      <alignment horizontal="center" vertical="center" textRotation="255"/>
    </xf>
    <xf numFmtId="179" fontId="94" fillId="0" borderId="37" xfId="5" applyFont="1" applyBorder="1" applyAlignment="1">
      <alignment horizontal="center" vertical="center" textRotation="255"/>
    </xf>
    <xf numFmtId="179" fontId="94" fillId="0" borderId="67" xfId="5" applyFont="1" applyBorder="1" applyAlignment="1">
      <alignment horizontal="center" vertical="center" textRotation="255"/>
    </xf>
    <xf numFmtId="179" fontId="109" fillId="0" borderId="15" xfId="5" applyFont="1" applyBorder="1" applyAlignment="1">
      <alignment horizontal="left" vertical="top" wrapText="1"/>
    </xf>
    <xf numFmtId="179" fontId="109" fillId="0" borderId="10" xfId="5" applyFont="1" applyBorder="1" applyAlignment="1">
      <alignment horizontal="left" vertical="top" wrapText="1"/>
    </xf>
    <xf numFmtId="179" fontId="109" fillId="0" borderId="8" xfId="5" applyFont="1" applyBorder="1" applyAlignment="1">
      <alignment horizontal="left" vertical="top" wrapText="1"/>
    </xf>
    <xf numFmtId="179" fontId="109" fillId="0" borderId="4" xfId="5" applyFont="1" applyBorder="1" applyAlignment="1">
      <alignment horizontal="left" vertical="top" wrapText="1"/>
    </xf>
    <xf numFmtId="179" fontId="109" fillId="0" borderId="0" xfId="5" applyFont="1" applyAlignment="1">
      <alignment horizontal="left" vertical="top" wrapText="1"/>
    </xf>
    <xf numFmtId="179" fontId="109" fillId="0" borderId="28" xfId="5" applyFont="1" applyBorder="1" applyAlignment="1">
      <alignment horizontal="left" vertical="top" wrapText="1"/>
    </xf>
    <xf numFmtId="179" fontId="109" fillId="0" borderId="11" xfId="5" applyFont="1" applyBorder="1" applyAlignment="1">
      <alignment horizontal="left" vertical="top" wrapText="1"/>
    </xf>
    <xf numFmtId="179" fontId="109" fillId="0" borderId="12" xfId="5" applyFont="1" applyBorder="1" applyAlignment="1">
      <alignment horizontal="left" vertical="top" wrapText="1"/>
    </xf>
    <xf numFmtId="179" fontId="109" fillId="0" borderId="38" xfId="5" applyFont="1" applyBorder="1" applyAlignment="1">
      <alignment horizontal="left" vertical="top" wrapText="1"/>
    </xf>
    <xf numFmtId="179" fontId="94" fillId="0" borderId="68" xfId="5" applyFont="1" applyBorder="1" applyAlignment="1">
      <alignment horizontal="center" vertical="center" textRotation="255"/>
    </xf>
    <xf numFmtId="179" fontId="94" fillId="0" borderId="39" xfId="5" applyFont="1" applyBorder="1" applyAlignment="1">
      <alignment horizontal="center" vertical="center" textRotation="255"/>
    </xf>
    <xf numFmtId="179" fontId="94" fillId="0" borderId="0" xfId="5" applyFont="1" applyAlignment="1">
      <alignment horizontal="left" vertical="center"/>
    </xf>
    <xf numFmtId="179" fontId="97" fillId="0" borderId="0" xfId="5" applyFont="1" applyAlignment="1">
      <alignment horizontal="left" vertical="center"/>
    </xf>
    <xf numFmtId="179" fontId="97" fillId="0" borderId="28" xfId="5" applyFont="1" applyBorder="1" applyAlignment="1">
      <alignment horizontal="left" vertical="center"/>
    </xf>
    <xf numFmtId="179" fontId="97" fillId="20" borderId="19" xfId="5" applyFont="1" applyFill="1" applyBorder="1" applyAlignment="1">
      <alignment horizontal="left" vertical="center"/>
    </xf>
    <xf numFmtId="179" fontId="97" fillId="20" borderId="35" xfId="5" applyFont="1" applyFill="1" applyBorder="1" applyAlignment="1">
      <alignment horizontal="left" vertical="center"/>
    </xf>
    <xf numFmtId="179" fontId="97" fillId="8" borderId="0" xfId="5" applyFont="1" applyFill="1" applyAlignment="1">
      <alignment horizontal="left" vertical="center"/>
    </xf>
    <xf numFmtId="179" fontId="97" fillId="8" borderId="28" xfId="5" applyFont="1" applyFill="1" applyBorder="1" applyAlignment="1">
      <alignment horizontal="left" vertical="center"/>
    </xf>
    <xf numFmtId="179" fontId="97" fillId="16" borderId="19" xfId="5" applyFont="1" applyFill="1" applyBorder="1" applyAlignment="1">
      <alignment horizontal="left" vertical="center"/>
    </xf>
    <xf numFmtId="179" fontId="97" fillId="16" borderId="35" xfId="5" applyFont="1" applyFill="1" applyBorder="1" applyAlignment="1">
      <alignment horizontal="left" vertical="center"/>
    </xf>
    <xf numFmtId="179" fontId="111" fillId="0" borderId="0" xfId="5" applyFont="1" applyAlignment="1">
      <alignment horizontal="left" vertical="center" wrapText="1"/>
    </xf>
    <xf numFmtId="179" fontId="110" fillId="26" borderId="7" xfId="5" applyFont="1" applyFill="1" applyBorder="1" applyAlignment="1">
      <alignment horizontal="center" vertical="center"/>
    </xf>
    <xf numFmtId="179" fontId="114" fillId="0" borderId="0" xfId="5" applyFont="1" applyAlignment="1">
      <alignment horizontal="center" vertical="center"/>
    </xf>
    <xf numFmtId="179" fontId="84" fillId="0" borderId="0" xfId="5" applyFont="1" applyAlignment="1">
      <alignment horizontal="center" vertical="center"/>
    </xf>
    <xf numFmtId="179" fontId="90" fillId="0" borderId="19" xfId="5" applyFont="1" applyBorder="1" applyAlignment="1">
      <alignment horizontal="center" vertical="center"/>
    </xf>
    <xf numFmtId="179" fontId="120" fillId="0" borderId="0" xfId="5" applyFont="1" applyAlignment="1">
      <alignment horizontal="left"/>
    </xf>
    <xf numFmtId="0" fontId="92" fillId="0" borderId="0" xfId="0" applyFont="1" applyAlignment="1">
      <alignment horizontal="left" vertical="center"/>
    </xf>
    <xf numFmtId="179" fontId="95" fillId="0" borderId="6" xfId="5" applyFont="1" applyBorder="1" applyAlignment="1">
      <alignment horizontal="center" vertical="center" wrapText="1"/>
    </xf>
    <xf numFmtId="179" fontId="95" fillId="0" borderId="7" xfId="5" applyFont="1" applyBorder="1" applyAlignment="1">
      <alignment horizontal="center" vertical="center" wrapText="1"/>
    </xf>
    <xf numFmtId="179" fontId="95" fillId="0" borderId="33" xfId="5" applyFont="1" applyBorder="1" applyAlignment="1">
      <alignment horizontal="center" vertical="center" wrapText="1"/>
    </xf>
    <xf numFmtId="179" fontId="87" fillId="0" borderId="0" xfId="5" applyFont="1" applyAlignment="1">
      <alignment horizontal="left" vertical="center"/>
    </xf>
    <xf numFmtId="0" fontId="91" fillId="13" borderId="65" xfId="5" applyNumberFormat="1" applyFont="1" applyFill="1" applyBorder="1" applyAlignment="1" applyProtection="1">
      <alignment horizontal="center" vertical="center"/>
      <protection locked="0"/>
    </xf>
    <xf numFmtId="0" fontId="91" fillId="13" borderId="21" xfId="5" applyNumberFormat="1" applyFont="1" applyFill="1" applyBorder="1" applyAlignment="1" applyProtection="1">
      <alignment horizontal="center" vertical="center"/>
      <protection locked="0"/>
    </xf>
    <xf numFmtId="0" fontId="91" fillId="13" borderId="22" xfId="5" applyNumberFormat="1" applyFont="1" applyFill="1" applyBorder="1" applyAlignment="1" applyProtection="1">
      <alignment horizontal="center" vertical="center"/>
      <protection locked="0"/>
    </xf>
    <xf numFmtId="179" fontId="84" fillId="0" borderId="40" xfId="5" applyFont="1" applyBorder="1" applyAlignment="1">
      <alignment horizontal="center" vertical="center"/>
    </xf>
    <xf numFmtId="179" fontId="84" fillId="0" borderId="21" xfId="5" applyFont="1" applyBorder="1" applyAlignment="1">
      <alignment horizontal="center" vertical="center"/>
    </xf>
    <xf numFmtId="179" fontId="84" fillId="0" borderId="22" xfId="5" applyFont="1" applyBorder="1" applyAlignment="1">
      <alignment horizontal="center" vertical="center"/>
    </xf>
    <xf numFmtId="49" fontId="91" fillId="13" borderId="40" xfId="5" applyNumberFormat="1" applyFont="1" applyFill="1" applyBorder="1" applyAlignment="1">
      <alignment horizontal="left" vertical="center"/>
    </xf>
    <xf numFmtId="0" fontId="91" fillId="13" borderId="21" xfId="5" applyNumberFormat="1" applyFont="1" applyFill="1" applyBorder="1" applyAlignment="1">
      <alignment horizontal="left" vertical="center"/>
    </xf>
    <xf numFmtId="0" fontId="91" fillId="13" borderId="70" xfId="5" applyNumberFormat="1" applyFont="1" applyFill="1" applyBorder="1" applyAlignment="1">
      <alignment horizontal="left" vertical="center"/>
    </xf>
    <xf numFmtId="0" fontId="91" fillId="13" borderId="14" xfId="5" applyNumberFormat="1" applyFont="1" applyFill="1" applyBorder="1" applyAlignment="1" applyProtection="1">
      <alignment horizontal="center" vertical="center" shrinkToFit="1"/>
      <protection locked="0"/>
    </xf>
    <xf numFmtId="0" fontId="91" fillId="13" borderId="20" xfId="5" applyNumberFormat="1" applyFont="1" applyFill="1" applyBorder="1" applyAlignment="1" applyProtection="1">
      <alignment horizontal="center" vertical="center" shrinkToFit="1"/>
      <protection locked="0"/>
    </xf>
    <xf numFmtId="0" fontId="91" fillId="13" borderId="41" xfId="5" applyNumberFormat="1" applyFont="1" applyFill="1" applyBorder="1" applyAlignment="1" applyProtection="1">
      <alignment horizontal="center" vertical="center" shrinkToFit="1"/>
      <protection locked="0"/>
    </xf>
    <xf numFmtId="179" fontId="84" fillId="0" borderId="63" xfId="5" quotePrefix="1" applyFont="1" applyBorder="1" applyAlignment="1">
      <alignment horizontal="center" vertical="center"/>
    </xf>
    <xf numFmtId="179" fontId="84" fillId="0" borderId="41" xfId="5" applyFont="1" applyBorder="1" applyAlignment="1">
      <alignment horizontal="center" vertical="center"/>
    </xf>
    <xf numFmtId="179" fontId="91" fillId="0" borderId="20" xfId="5" applyFont="1" applyBorder="1" applyAlignment="1">
      <alignment horizontal="left" vertical="center"/>
    </xf>
    <xf numFmtId="179" fontId="91" fillId="0" borderId="10" xfId="5" applyFont="1" applyBorder="1" applyAlignment="1">
      <alignment horizontal="left" vertical="center"/>
    </xf>
    <xf numFmtId="179" fontId="84" fillId="0" borderId="58" xfId="5" applyFont="1" applyBorder="1" applyAlignment="1">
      <alignment horizontal="center" vertical="center"/>
    </xf>
    <xf numFmtId="179" fontId="84" fillId="0" borderId="38" xfId="5" applyFont="1" applyBorder="1" applyAlignment="1">
      <alignment horizontal="center" vertical="center"/>
    </xf>
    <xf numFmtId="179" fontId="97" fillId="0" borderId="64" xfId="5" applyFont="1" applyBorder="1" applyAlignment="1">
      <alignment vertical="center"/>
    </xf>
    <xf numFmtId="179" fontId="97" fillId="0" borderId="18" xfId="5" applyFont="1" applyBorder="1" applyAlignment="1">
      <alignment vertical="center"/>
    </xf>
    <xf numFmtId="179" fontId="84" fillId="0" borderId="16" xfId="5" applyFont="1" applyBorder="1" applyAlignment="1">
      <alignment horizontal="center" vertical="center"/>
    </xf>
    <xf numFmtId="179" fontId="84" fillId="0" borderId="17" xfId="5" applyFont="1" applyBorder="1" applyAlignment="1">
      <alignment horizontal="center" vertical="center"/>
    </xf>
    <xf numFmtId="0" fontId="82" fillId="0" borderId="29" xfId="0" applyFont="1" applyBorder="1" applyAlignment="1">
      <alignment horizontal="left" vertical="center" wrapText="1"/>
    </xf>
    <xf numFmtId="0" fontId="82" fillId="29" borderId="29" xfId="0" applyFont="1" applyFill="1" applyBorder="1" applyAlignment="1">
      <alignment horizontal="center" vertical="center" wrapText="1"/>
    </xf>
    <xf numFmtId="0" fontId="8" fillId="0" borderId="42" xfId="0" applyFont="1" applyBorder="1" applyAlignment="1">
      <alignment horizontal="center" vertical="center"/>
    </xf>
    <xf numFmtId="0" fontId="8" fillId="0" borderId="43" xfId="0" applyFont="1" applyBorder="1" applyAlignment="1">
      <alignment horizontal="center" vertical="center"/>
    </xf>
    <xf numFmtId="0" fontId="8" fillId="0" borderId="27" xfId="0" applyFont="1" applyBorder="1" applyAlignment="1">
      <alignment horizontal="center" vertical="center"/>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0" fillId="2" borderId="0" xfId="0" applyFill="1" applyAlignment="1">
      <alignment horizontal="left" vertical="center"/>
    </xf>
    <xf numFmtId="183" fontId="16" fillId="12" borderId="29" xfId="0" applyNumberFormat="1" applyFont="1" applyFill="1" applyBorder="1" applyAlignment="1">
      <alignment horizontal="center" vertical="center"/>
    </xf>
    <xf numFmtId="183" fontId="0" fillId="13" borderId="29" xfId="0" applyNumberFormat="1" applyFill="1" applyBorder="1" applyAlignment="1">
      <alignment horizontal="center" vertical="center"/>
    </xf>
    <xf numFmtId="183" fontId="0" fillId="9" borderId="29" xfId="0" applyNumberFormat="1" applyFill="1" applyBorder="1" applyAlignment="1">
      <alignment horizontal="center" vertical="center"/>
    </xf>
    <xf numFmtId="0" fontId="0" fillId="12" borderId="29" xfId="0" applyFill="1" applyBorder="1" applyAlignment="1">
      <alignment horizontal="center" vertical="center"/>
    </xf>
    <xf numFmtId="0" fontId="68" fillId="0" borderId="5" xfId="0" applyFont="1" applyBorder="1" applyAlignment="1">
      <alignment horizontal="center" vertical="center" wrapText="1"/>
    </xf>
    <xf numFmtId="0" fontId="69" fillId="0" borderId="5" xfId="0" applyFont="1" applyBorder="1" applyAlignment="1">
      <alignment horizontal="center" vertical="center" wrapText="1"/>
    </xf>
    <xf numFmtId="0" fontId="8" fillId="0" borderId="29" xfId="0" applyFont="1" applyBorder="1" applyAlignment="1">
      <alignment vertical="center"/>
    </xf>
    <xf numFmtId="0" fontId="8" fillId="0" borderId="16" xfId="0" applyFont="1" applyBorder="1" applyAlignment="1">
      <alignment vertical="center"/>
    </xf>
    <xf numFmtId="0" fontId="8" fillId="0" borderId="18" xfId="0" applyFont="1" applyBorder="1" applyAlignment="1">
      <alignment vertical="center"/>
    </xf>
    <xf numFmtId="0" fontId="8" fillId="0" borderId="17" xfId="0" applyFont="1" applyBorder="1" applyAlignment="1">
      <alignment vertical="center"/>
    </xf>
    <xf numFmtId="0" fontId="8" fillId="24" borderId="29" xfId="0" applyFont="1" applyFill="1" applyBorder="1" applyAlignment="1">
      <alignment vertical="center"/>
    </xf>
    <xf numFmtId="0" fontId="8" fillId="7" borderId="16" xfId="0" applyFont="1" applyFill="1" applyBorder="1" applyAlignment="1">
      <alignment vertical="center"/>
    </xf>
    <xf numFmtId="0" fontId="8" fillId="7" borderId="18" xfId="0" applyFont="1" applyFill="1" applyBorder="1" applyAlignment="1">
      <alignment vertical="center"/>
    </xf>
    <xf numFmtId="0" fontId="8" fillId="7" borderId="17" xfId="0" applyFont="1" applyFill="1" applyBorder="1" applyAlignment="1">
      <alignment vertical="center"/>
    </xf>
    <xf numFmtId="0" fontId="75" fillId="7" borderId="16" xfId="0" applyFont="1" applyFill="1" applyBorder="1" applyAlignment="1">
      <alignment vertical="center"/>
    </xf>
    <xf numFmtId="0" fontId="75" fillId="7" borderId="18" xfId="0" applyFont="1" applyFill="1" applyBorder="1" applyAlignment="1">
      <alignment vertical="center"/>
    </xf>
    <xf numFmtId="0" fontId="75" fillId="7" borderId="17" xfId="0" applyFont="1" applyFill="1" applyBorder="1" applyAlignment="1">
      <alignment vertical="center"/>
    </xf>
    <xf numFmtId="0" fontId="35" fillId="7" borderId="16" xfId="0" applyFont="1" applyFill="1" applyBorder="1" applyAlignment="1">
      <alignment vertical="center"/>
    </xf>
    <xf numFmtId="0" fontId="35" fillId="7" borderId="18" xfId="0" applyFont="1" applyFill="1" applyBorder="1" applyAlignment="1">
      <alignment vertical="center"/>
    </xf>
    <xf numFmtId="0" fontId="35" fillId="7" borderId="17" xfId="0" applyFont="1" applyFill="1" applyBorder="1" applyAlignment="1">
      <alignment vertical="center"/>
    </xf>
    <xf numFmtId="0" fontId="9" fillId="7" borderId="16" xfId="0" applyFont="1" applyFill="1" applyBorder="1" applyAlignment="1">
      <alignment vertical="center"/>
    </xf>
    <xf numFmtId="0" fontId="9" fillId="7" borderId="18" xfId="0" applyFont="1" applyFill="1" applyBorder="1" applyAlignment="1">
      <alignment vertical="center"/>
    </xf>
    <xf numFmtId="0" fontId="9" fillId="7" borderId="17" xfId="0" applyFont="1" applyFill="1" applyBorder="1" applyAlignment="1">
      <alignment vertical="center"/>
    </xf>
    <xf numFmtId="0" fontId="10" fillId="0" borderId="0" xfId="0" applyFont="1" applyAlignment="1">
      <alignment vertical="center"/>
    </xf>
  </cellXfs>
  <cellStyles count="23">
    <cellStyle name="Calc Currency (0)" xfId="6" xr:uid="{00000000-0005-0000-0000-000000000000}"/>
    <cellStyle name="Grey" xfId="7" xr:uid="{00000000-0005-0000-0000-000001000000}"/>
    <cellStyle name="Header1" xfId="8" xr:uid="{00000000-0005-0000-0000-000002000000}"/>
    <cellStyle name="Header2" xfId="9" xr:uid="{00000000-0005-0000-0000-000003000000}"/>
    <cellStyle name="Input [yellow]" xfId="10" xr:uid="{00000000-0005-0000-0000-000004000000}"/>
    <cellStyle name="KWE標準" xfId="11" xr:uid="{00000000-0005-0000-0000-000005000000}"/>
    <cellStyle name="Milliers [0]_AR1194" xfId="12" xr:uid="{00000000-0005-0000-0000-000006000000}"/>
    <cellStyle name="Milliers_AR1194" xfId="13" xr:uid="{00000000-0005-0000-0000-000007000000}"/>
    <cellStyle name="Mon騁aire [0]_AR1194" xfId="14" xr:uid="{00000000-0005-0000-0000-000008000000}"/>
    <cellStyle name="Mon騁aire_AR1194" xfId="15" xr:uid="{00000000-0005-0000-0000-000009000000}"/>
    <cellStyle name="Normal - Style1" xfId="16" xr:uid="{00000000-0005-0000-0000-00000A000000}"/>
    <cellStyle name="Normal_#18-Internet" xfId="17" xr:uid="{00000000-0005-0000-0000-00000B000000}"/>
    <cellStyle name="Percent [2]" xfId="18" xr:uid="{00000000-0005-0000-0000-00000C000000}"/>
    <cellStyle name="ハイパーリンク" xfId="1" builtinId="8"/>
    <cellStyle name="桁区切り" xfId="2" builtinId="6"/>
    <cellStyle name="標準" xfId="0" builtinId="0"/>
    <cellStyle name="標準 2" xfId="3" xr:uid="{00000000-0005-0000-0000-000010000000}"/>
    <cellStyle name="標準 2 2" xfId="21" xr:uid="{00000000-0005-0000-0000-000011000000}"/>
    <cellStyle name="標準 3" xfId="19" xr:uid="{00000000-0005-0000-0000-000012000000}"/>
    <cellStyle name="標準 4" xfId="5" xr:uid="{00000000-0005-0000-0000-000013000000}"/>
    <cellStyle name="標準 4 2" xfId="22" xr:uid="{00000000-0005-0000-0000-000014000000}"/>
    <cellStyle name="標準 5" xfId="20" xr:uid="{00000000-0005-0000-0000-000015000000}"/>
    <cellStyle name="標準 6" xfId="4" xr:uid="{00000000-0005-0000-0000-000016000000}"/>
  </cellStyles>
  <dxfs count="86">
    <dxf>
      <fill>
        <patternFill>
          <bgColor theme="4"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color theme="0"/>
      </font>
      <fill>
        <patternFill>
          <bgColor rgb="FFFF0000"/>
        </patternFill>
      </fill>
    </dxf>
    <dxf>
      <fill>
        <patternFill>
          <bgColor theme="5" tint="0.79998168889431442"/>
        </patternFill>
      </fill>
    </dxf>
    <dxf>
      <fill>
        <patternFill>
          <bgColor theme="4" tint="0.79998168889431442"/>
        </patternFill>
      </fill>
    </dxf>
    <dxf>
      <fill>
        <patternFill patternType="solid">
          <bgColor theme="7" tint="0.79998168889431442"/>
        </patternFill>
      </fill>
    </dxf>
    <dxf>
      <fill>
        <patternFill>
          <bgColor theme="7" tint="0.79998168889431442"/>
        </patternFill>
      </fill>
    </dxf>
    <dxf>
      <font>
        <b/>
        <i val="0"/>
        <color theme="0"/>
      </font>
      <fill>
        <patternFill>
          <bgColor rgb="FFFF0000"/>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5" tint="0.79998168889431442"/>
        </patternFill>
      </fill>
    </dxf>
    <dxf>
      <fill>
        <patternFill>
          <bgColor theme="7" tint="0.79998168889431442"/>
        </patternFill>
      </fill>
    </dxf>
    <dxf>
      <font>
        <strike val="0"/>
        <color auto="1"/>
      </font>
      <fill>
        <patternFill>
          <bgColor theme="7"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7"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2" tint="-9.9948118533890809E-2"/>
        </patternFill>
      </fill>
    </dxf>
    <dxf>
      <fill>
        <patternFill>
          <bgColor theme="4" tint="0.79998168889431442"/>
        </patternFill>
      </fill>
    </dxf>
    <dxf>
      <fill>
        <patternFill>
          <bgColor theme="7" tint="0.79998168889431442"/>
        </patternFill>
      </fill>
    </dxf>
    <dxf>
      <fill>
        <patternFill>
          <bgColor theme="2" tint="-9.9948118533890809E-2"/>
        </patternFill>
      </fill>
    </dxf>
    <dxf>
      <fill>
        <patternFill>
          <bgColor theme="4"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theme="2" tint="-9.9948118533890809E-2"/>
        </patternFill>
      </fill>
    </dxf>
    <dxf>
      <fill>
        <patternFill>
          <bgColor theme="7" tint="0.79998168889431442"/>
        </patternFill>
      </fill>
    </dxf>
    <dxf>
      <fill>
        <patternFill>
          <bgColor theme="7"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2" tint="-9.9948118533890809E-2"/>
        </patternFill>
      </fill>
    </dxf>
    <dxf>
      <fill>
        <patternFill>
          <bgColor theme="7" tint="0.79998168889431442"/>
        </patternFill>
      </fill>
    </dxf>
  </dxfs>
  <tableStyles count="0" defaultTableStyle="TableStyleMedium2" defaultPivotStyle="PivotStyleLight16"/>
  <colors>
    <mruColors>
      <color rgb="FF000000"/>
      <color rgb="FFFF0000"/>
      <color rgb="FFC9C9C9"/>
      <color rgb="FFFBE5D6"/>
      <color rgb="FFED7D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146957</xdr:rowOff>
    </xdr:from>
    <xdr:to>
      <xdr:col>4</xdr:col>
      <xdr:colOff>9524</xdr:colOff>
      <xdr:row>3</xdr:row>
      <xdr:rowOff>156482</xdr:rowOff>
    </xdr:to>
    <xdr:sp macro="" textlink="">
      <xdr:nvSpPr>
        <xdr:cNvPr id="2" name="正方形/長方形 1">
          <a:extLst>
            <a:ext uri="{FF2B5EF4-FFF2-40B4-BE49-F238E27FC236}">
              <a16:creationId xmlns:a16="http://schemas.microsoft.com/office/drawing/2014/main" id="{00000000-0008-0000-0000-000002000000}"/>
            </a:ext>
          </a:extLst>
        </xdr:cNvPr>
        <xdr:cNvSpPr/>
      </xdr:nvSpPr>
      <xdr:spPr>
        <a:xfrm>
          <a:off x="95250" y="146957"/>
          <a:ext cx="893988" cy="540204"/>
        </a:xfrm>
        <a:prstGeom prst="rect">
          <a:avLst/>
        </a:prstGeom>
        <a:solidFill>
          <a:schemeClr val="bg1"/>
        </a:solidFill>
        <a:ln w="12700" cmpd="dbl">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600">
              <a:solidFill>
                <a:sysClr val="windowText" lastClr="000000"/>
              </a:solidFill>
              <a:latin typeface="Meiryo UI" panose="020B0604030504040204" pitchFamily="50" charset="-128"/>
              <a:ea typeface="Meiryo UI" panose="020B0604030504040204" pitchFamily="50" charset="-128"/>
            </a:rPr>
            <a:t>ＰＲＯＴＥＣＴＥＤ</a:t>
          </a:r>
          <a:endParaRPr kumimoji="1" lang="en-US" altLang="ja-JP" sz="600">
            <a:solidFill>
              <a:sysClr val="windowText" lastClr="000000"/>
            </a:solidFill>
            <a:latin typeface="Meiryo UI" panose="020B0604030504040204" pitchFamily="50" charset="-128"/>
            <a:ea typeface="Meiryo UI" panose="020B0604030504040204" pitchFamily="50" charset="-128"/>
          </a:endParaRPr>
        </a:p>
        <a:p>
          <a:pPr algn="ctr"/>
          <a:br>
            <a:rPr kumimoji="1" lang="en-US" altLang="ja-JP" sz="400">
              <a:solidFill>
                <a:sysClr val="windowText" lastClr="000000"/>
              </a:solidFill>
              <a:latin typeface="Meiryo UI" panose="020B0604030504040204" pitchFamily="50" charset="-128"/>
              <a:ea typeface="Meiryo UI" panose="020B0604030504040204" pitchFamily="50" charset="-128"/>
            </a:rPr>
          </a:br>
          <a:r>
            <a:rPr kumimoji="1" lang="ja-JP" altLang="en-US" sz="800">
              <a:solidFill>
                <a:sysClr val="windowText" lastClr="000000"/>
              </a:solidFill>
              <a:latin typeface="Meiryo UI" panose="020B0604030504040204" pitchFamily="50" charset="-128"/>
              <a:ea typeface="Meiryo UI" panose="020B0604030504040204" pitchFamily="50" charset="-128"/>
            </a:rPr>
            <a:t>関係者外秘</a:t>
          </a:r>
        </a:p>
      </xdr:txBody>
    </xdr:sp>
    <xdr:clientData/>
  </xdr:twoCellAnchor>
  <mc:AlternateContent xmlns:mc="http://schemas.openxmlformats.org/markup-compatibility/2006">
    <mc:Choice xmlns:a14="http://schemas.microsoft.com/office/drawing/2010/main" Requires="a14">
      <xdr:twoCellAnchor>
        <xdr:from>
          <xdr:col>37</xdr:col>
          <xdr:colOff>57150</xdr:colOff>
          <xdr:row>39</xdr:row>
          <xdr:rowOff>57150</xdr:rowOff>
        </xdr:from>
        <xdr:to>
          <xdr:col>42</xdr:col>
          <xdr:colOff>142875</xdr:colOff>
          <xdr:row>41</xdr:row>
          <xdr:rowOff>209550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900" b="0" i="0" u="none" strike="noStrike" baseline="0">
                  <a:solidFill>
                    <a:srgbClr val="000000"/>
                  </a:solidFill>
                  <a:latin typeface="BIZ UDPゴシック"/>
                  <a:ea typeface="BIZ UDPゴシック"/>
                </a:rPr>
                <a:t>秘書部への</a:t>
              </a:r>
            </a:p>
            <a:p>
              <a:pPr algn="ctr" rtl="0">
                <a:defRPr sz="1000"/>
              </a:pPr>
              <a:r>
                <a:rPr lang="ja-JP" altLang="en-US" sz="900" b="0" i="0" u="none" strike="noStrike" baseline="0">
                  <a:solidFill>
                    <a:srgbClr val="000000"/>
                  </a:solidFill>
                  <a:latin typeface="BIZ UDPゴシック"/>
                  <a:ea typeface="BIZ UDPゴシック"/>
                </a:rPr>
                <a:t>メール作成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57150</xdr:colOff>
          <xdr:row>43</xdr:row>
          <xdr:rowOff>57150</xdr:rowOff>
        </xdr:from>
        <xdr:to>
          <xdr:col>42</xdr:col>
          <xdr:colOff>142875</xdr:colOff>
          <xdr:row>45</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900" b="0" i="0" u="none" strike="noStrike" baseline="0">
                  <a:solidFill>
                    <a:srgbClr val="000000"/>
                  </a:solidFill>
                  <a:latin typeface="BIZ UDPゴシック"/>
                  <a:ea typeface="BIZ UDPゴシック"/>
                </a:rPr>
                <a:t>TPSCへの</a:t>
              </a:r>
            </a:p>
            <a:p>
              <a:pPr algn="ctr" rtl="0">
                <a:defRPr sz="1000"/>
              </a:pPr>
              <a:r>
                <a:rPr lang="ja-JP" altLang="en-US" sz="900" b="0" i="0" u="none" strike="noStrike" baseline="0">
                  <a:solidFill>
                    <a:srgbClr val="000000"/>
                  </a:solidFill>
                  <a:latin typeface="BIZ UDPゴシック"/>
                  <a:ea typeface="BIZ UDPゴシック"/>
                </a:rPr>
                <a:t>メール作成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57150</xdr:colOff>
          <xdr:row>47</xdr:row>
          <xdr:rowOff>66675</xdr:rowOff>
        </xdr:from>
        <xdr:to>
          <xdr:col>42</xdr:col>
          <xdr:colOff>142875</xdr:colOff>
          <xdr:row>49</xdr:row>
          <xdr:rowOff>123825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900" b="0" i="0" u="none" strike="noStrike" baseline="0">
                  <a:solidFill>
                    <a:srgbClr val="000000"/>
                  </a:solidFill>
                  <a:latin typeface="BIZ UDPゴシック"/>
                  <a:ea typeface="BIZ UDPゴシック"/>
                </a:rPr>
                <a:t>部内展開用</a:t>
              </a:r>
            </a:p>
            <a:p>
              <a:pPr algn="ctr" rtl="0">
                <a:defRPr sz="1000"/>
              </a:pPr>
              <a:r>
                <a:rPr lang="ja-JP" altLang="en-US" sz="900" b="0" i="0" u="none" strike="noStrike" baseline="0">
                  <a:solidFill>
                    <a:srgbClr val="000000"/>
                  </a:solidFill>
                  <a:latin typeface="BIZ UDPゴシック"/>
                  <a:ea typeface="BIZ UDPゴシック"/>
                </a:rPr>
                <a:t>メール作成</a:t>
              </a:r>
            </a:p>
          </xdr:txBody>
        </xdr:sp>
        <xdr:clientData fPrintsWithSheet="0"/>
      </xdr:twoCellAnchor>
    </mc:Choice>
    <mc:Fallback/>
  </mc:AlternateContent>
  <xdr:twoCellAnchor>
    <xdr:from>
      <xdr:col>35</xdr:col>
      <xdr:colOff>29195</xdr:colOff>
      <xdr:row>5</xdr:row>
      <xdr:rowOff>371868</xdr:rowOff>
    </xdr:from>
    <xdr:to>
      <xdr:col>36</xdr:col>
      <xdr:colOff>182472</xdr:colOff>
      <xdr:row>7</xdr:row>
      <xdr:rowOff>112336</xdr:rowOff>
    </xdr:to>
    <xdr:sp macro="" textlink="">
      <xdr:nvSpPr>
        <xdr:cNvPr id="6" name="円/楕円 5">
          <a:extLst>
            <a:ext uri="{FF2B5EF4-FFF2-40B4-BE49-F238E27FC236}">
              <a16:creationId xmlns:a16="http://schemas.microsoft.com/office/drawing/2014/main" id="{00000000-0008-0000-0000-000006000000}"/>
            </a:ext>
          </a:extLst>
        </xdr:cNvPr>
        <xdr:cNvSpPr/>
      </xdr:nvSpPr>
      <xdr:spPr bwMode="auto">
        <a:xfrm>
          <a:off x="9988112" y="1133868"/>
          <a:ext cx="407277" cy="386051"/>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val="FF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kumimoji="1" lang="ja-JP" altLang="en-US" sz="1000">
              <a:solidFill>
                <a:srgbClr val="FF0000"/>
              </a:solidFill>
            </a:rPr>
            <a:t>豊田</a:t>
          </a: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25</xdr:row>
          <xdr:rowOff>161925</xdr:rowOff>
        </xdr:from>
        <xdr:to>
          <xdr:col>3</xdr:col>
          <xdr:colOff>28575</xdr:colOff>
          <xdr:row>26</xdr:row>
          <xdr:rowOff>247650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同上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55</xdr:row>
          <xdr:rowOff>19050</xdr:rowOff>
        </xdr:from>
        <xdr:to>
          <xdr:col>2</xdr:col>
          <xdr:colOff>0</xdr:colOff>
          <xdr:row>55</xdr:row>
          <xdr:rowOff>161925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56</xdr:row>
          <xdr:rowOff>19050</xdr:rowOff>
        </xdr:from>
        <xdr:to>
          <xdr:col>2</xdr:col>
          <xdr:colOff>0</xdr:colOff>
          <xdr:row>56</xdr:row>
          <xdr:rowOff>161925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55</xdr:row>
          <xdr:rowOff>19050</xdr:rowOff>
        </xdr:from>
        <xdr:to>
          <xdr:col>3</xdr:col>
          <xdr:colOff>9525</xdr:colOff>
          <xdr:row>55</xdr:row>
          <xdr:rowOff>161925</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56</xdr:row>
          <xdr:rowOff>19050</xdr:rowOff>
        </xdr:from>
        <xdr:to>
          <xdr:col>3</xdr:col>
          <xdr:colOff>9525</xdr:colOff>
          <xdr:row>56</xdr:row>
          <xdr:rowOff>161925</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57</xdr:row>
          <xdr:rowOff>19050</xdr:rowOff>
        </xdr:from>
        <xdr:to>
          <xdr:col>3</xdr:col>
          <xdr:colOff>9525</xdr:colOff>
          <xdr:row>57</xdr:row>
          <xdr:rowOff>161925</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58</xdr:row>
          <xdr:rowOff>19050</xdr:rowOff>
        </xdr:from>
        <xdr:to>
          <xdr:col>3</xdr:col>
          <xdr:colOff>9525</xdr:colOff>
          <xdr:row>58</xdr:row>
          <xdr:rowOff>161925</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58</xdr:row>
          <xdr:rowOff>19050</xdr:rowOff>
        </xdr:from>
        <xdr:to>
          <xdr:col>2</xdr:col>
          <xdr:colOff>0</xdr:colOff>
          <xdr:row>58</xdr:row>
          <xdr:rowOff>161925</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59</xdr:row>
          <xdr:rowOff>19050</xdr:rowOff>
        </xdr:from>
        <xdr:to>
          <xdr:col>2</xdr:col>
          <xdr:colOff>0</xdr:colOff>
          <xdr:row>59</xdr:row>
          <xdr:rowOff>161925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59</xdr:row>
          <xdr:rowOff>19050</xdr:rowOff>
        </xdr:from>
        <xdr:to>
          <xdr:col>3</xdr:col>
          <xdr:colOff>9525</xdr:colOff>
          <xdr:row>59</xdr:row>
          <xdr:rowOff>161925</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60</xdr:row>
          <xdr:rowOff>19050</xdr:rowOff>
        </xdr:from>
        <xdr:to>
          <xdr:col>3</xdr:col>
          <xdr:colOff>9525</xdr:colOff>
          <xdr:row>60</xdr:row>
          <xdr:rowOff>161925</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61</xdr:row>
          <xdr:rowOff>19050</xdr:rowOff>
        </xdr:from>
        <xdr:to>
          <xdr:col>2</xdr:col>
          <xdr:colOff>0</xdr:colOff>
          <xdr:row>62</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7170</xdr:colOff>
          <xdr:row>36</xdr:row>
          <xdr:rowOff>242888</xdr:rowOff>
        </xdr:from>
        <xdr:to>
          <xdr:col>21</xdr:col>
          <xdr:colOff>206229</xdr:colOff>
          <xdr:row>38</xdr:row>
          <xdr:rowOff>4877</xdr:rowOff>
        </xdr:to>
        <xdr:grpSp>
          <xdr:nvGrpSpPr>
            <xdr:cNvPr id="3" name="グループ化 2">
              <a:extLst>
                <a:ext uri="{FF2B5EF4-FFF2-40B4-BE49-F238E27FC236}">
                  <a16:creationId xmlns:a16="http://schemas.microsoft.com/office/drawing/2014/main" id="{00000000-0008-0000-0000-000003000000}"/>
                </a:ext>
              </a:extLst>
            </xdr:cNvPr>
            <xdr:cNvGrpSpPr/>
          </xdr:nvGrpSpPr>
          <xdr:grpSpPr>
            <a:xfrm>
              <a:off x="3188520" y="8682038"/>
              <a:ext cx="2694609" cy="257289"/>
              <a:chOff x="6834055" y="10837092"/>
              <a:chExt cx="2686021" cy="252880"/>
            </a:xfrm>
          </xdr:grpSpPr>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6834055" y="10841505"/>
                <a:ext cx="591346" cy="2413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弔慰金</a:t>
                </a:r>
              </a:p>
            </xdr:txBody>
          </xdr:sp>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7515962" y="10842065"/>
                <a:ext cx="615235" cy="2401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香料</a:t>
                </a:r>
              </a:p>
            </xdr:txBody>
          </xdr:sp>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8238173" y="10842065"/>
                <a:ext cx="637189" cy="2401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供花</a:t>
                </a:r>
              </a:p>
            </xdr:txBody>
          </xdr:sp>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8956049" y="10837092"/>
                <a:ext cx="564027" cy="2528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電報</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57150</xdr:colOff>
          <xdr:row>59</xdr:row>
          <xdr:rowOff>28575</xdr:rowOff>
        </xdr:from>
        <xdr:to>
          <xdr:col>42</xdr:col>
          <xdr:colOff>142875</xdr:colOff>
          <xdr:row>61</xdr:row>
          <xdr:rowOff>161925</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BIZ UDPゴシック"/>
                  <a:ea typeface="BIZ UDP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57150</xdr:colOff>
          <xdr:row>63</xdr:row>
          <xdr:rowOff>28575</xdr:rowOff>
        </xdr:from>
        <xdr:to>
          <xdr:col>42</xdr:col>
          <xdr:colOff>142875</xdr:colOff>
          <xdr:row>65</xdr:row>
          <xdr:rowOff>161925</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BIZ UDPゴシック"/>
                  <a:ea typeface="BIZ UDPゴシック"/>
                </a:rPr>
                <a:t>印刷</a:t>
              </a:r>
            </a:p>
          </xdr:txBody>
        </xdr:sp>
        <xdr:clientData fPrintsWithSheet="0"/>
      </xdr:twoCellAnchor>
    </mc:Choice>
    <mc:Fallback/>
  </mc:AlternateContent>
  <xdr:twoCellAnchor>
    <xdr:from>
      <xdr:col>1</xdr:col>
      <xdr:colOff>45357</xdr:colOff>
      <xdr:row>38</xdr:row>
      <xdr:rowOff>36285</xdr:rowOff>
    </xdr:from>
    <xdr:to>
      <xdr:col>31</xdr:col>
      <xdr:colOff>229402</xdr:colOff>
      <xdr:row>38</xdr:row>
      <xdr:rowOff>250798</xdr:rowOff>
    </xdr:to>
    <xdr:sp macro="" textlink="">
      <xdr:nvSpPr>
        <xdr:cNvPr id="30" name="テキスト ボックス 29">
          <a:extLst>
            <a:ext uri="{FF2B5EF4-FFF2-40B4-BE49-F238E27FC236}">
              <a16:creationId xmlns:a16="http://schemas.microsoft.com/office/drawing/2014/main" id="{00000000-0008-0000-0000-00001E000000}"/>
            </a:ext>
          </a:extLst>
        </xdr:cNvPr>
        <xdr:cNvSpPr txBox="1"/>
      </xdr:nvSpPr>
      <xdr:spPr>
        <a:xfrm>
          <a:off x="399143" y="9107714"/>
          <a:ext cx="8475330" cy="214513"/>
        </a:xfrm>
        <a:prstGeom prst="rect">
          <a:avLst/>
        </a:prstGeom>
        <a:solidFill>
          <a:schemeClr val="accent1">
            <a:lumMod val="50000"/>
          </a:schemeClr>
        </a:solidFill>
        <a:ln w="28575" cmpd="sng">
          <a:solidFill>
            <a:srgbClr val="ED7D31"/>
          </a:solidFill>
          <a:prstDash val="sys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0">
              <a:solidFill>
                <a:schemeClr val="bg1"/>
              </a:solidFill>
              <a:latin typeface="BIZ UDPゴシック" panose="020B0400000000000000" pitchFamily="50" charset="-128"/>
              <a:ea typeface="BIZ UDPゴシック" panose="020B0400000000000000" pitchFamily="50" charset="-128"/>
            </a:rPr>
            <a:t>手配基準の詳細は弔事手配基準表をご確認下さい。</a:t>
          </a:r>
        </a:p>
      </xdr:txBody>
    </xdr:sp>
    <xdr:clientData/>
  </xdr:twoCellAnchor>
  <mc:AlternateContent xmlns:mc="http://schemas.openxmlformats.org/markup-compatibility/2006">
    <mc:Choice xmlns:a14="http://schemas.microsoft.com/office/drawing/2010/main" Requires="a14">
      <xdr:twoCellAnchor editAs="oneCell">
        <xdr:from>
          <xdr:col>2</xdr:col>
          <xdr:colOff>47625</xdr:colOff>
          <xdr:row>46</xdr:row>
          <xdr:rowOff>76200</xdr:rowOff>
        </xdr:from>
        <xdr:to>
          <xdr:col>5</xdr:col>
          <xdr:colOff>57150</xdr:colOff>
          <xdr:row>47</xdr:row>
          <xdr:rowOff>133350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xdr:col>
          <xdr:colOff>57150</xdr:colOff>
          <xdr:row>53</xdr:row>
          <xdr:rowOff>47625</xdr:rowOff>
        </xdr:from>
        <xdr:to>
          <xdr:col>41</xdr:col>
          <xdr:colOff>209550</xdr:colOff>
          <xdr:row>56</xdr:row>
          <xdr:rowOff>133350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BIZ UDPゴシック"/>
                  <a:ea typeface="BIZ UDPゴシック"/>
                </a:rPr>
                <a:t>供花手配</a:t>
              </a:r>
            </a:p>
            <a:p>
              <a:pPr algn="ctr" rtl="0">
                <a:defRPr sz="1000"/>
              </a:pPr>
              <a:r>
                <a:rPr lang="ja-JP" altLang="en-US" sz="1100" b="0" i="0" u="none" strike="noStrike" baseline="0">
                  <a:solidFill>
                    <a:srgbClr val="000000"/>
                  </a:solidFill>
                  <a:latin typeface="BIZ UDPゴシック"/>
                  <a:ea typeface="BIZ UDPゴシック"/>
                </a:rPr>
                <a:t>（家族）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66675</xdr:colOff>
          <xdr:row>54</xdr:row>
          <xdr:rowOff>9525</xdr:rowOff>
        </xdr:from>
        <xdr:to>
          <xdr:col>47</xdr:col>
          <xdr:colOff>219075</xdr:colOff>
          <xdr:row>56</xdr:row>
          <xdr:rowOff>133350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BIZ UDPゴシック"/>
                  <a:ea typeface="BIZ UDPゴシック"/>
                </a:rPr>
                <a:t>供花手配</a:t>
              </a:r>
            </a:p>
            <a:p>
              <a:pPr algn="ctr" rtl="0">
                <a:defRPr sz="1000"/>
              </a:pPr>
              <a:r>
                <a:rPr lang="ja-JP" altLang="en-US" sz="1100" b="0" i="0" u="none" strike="noStrike" baseline="0">
                  <a:solidFill>
                    <a:srgbClr val="000000"/>
                  </a:solidFill>
                  <a:latin typeface="BIZ UDPゴシック"/>
                  <a:ea typeface="BIZ UDPゴシック"/>
                </a:rPr>
                <a:t>（本人）</a:t>
              </a:r>
            </a:p>
          </xdr:txBody>
        </xdr:sp>
        <xdr:clientData fPrintsWithSheet="0"/>
      </xdr:twoCellAnchor>
    </mc:Choice>
    <mc:Fallback/>
  </mc:AlternateContent>
  <xdr:twoCellAnchor>
    <xdr:from>
      <xdr:col>33</xdr:col>
      <xdr:colOff>42334</xdr:colOff>
      <xdr:row>14</xdr:row>
      <xdr:rowOff>63515</xdr:rowOff>
    </xdr:from>
    <xdr:to>
      <xdr:col>37</xdr:col>
      <xdr:colOff>137584</xdr:colOff>
      <xdr:row>18</xdr:row>
      <xdr:rowOff>148181</xdr:rowOff>
    </xdr:to>
    <xdr:sp macro="" textlink="">
      <xdr:nvSpPr>
        <xdr:cNvPr id="4" name="右矢印 3">
          <a:extLst>
            <a:ext uri="{FF2B5EF4-FFF2-40B4-BE49-F238E27FC236}">
              <a16:creationId xmlns:a16="http://schemas.microsoft.com/office/drawing/2014/main" id="{00000000-0008-0000-0000-000004000000}"/>
            </a:ext>
          </a:extLst>
        </xdr:cNvPr>
        <xdr:cNvSpPr/>
      </xdr:nvSpPr>
      <xdr:spPr>
        <a:xfrm>
          <a:off x="9323917" y="3227932"/>
          <a:ext cx="1270000" cy="931332"/>
        </a:xfrm>
        <a:prstGeom prst="rightArrow">
          <a:avLst/>
        </a:prstGeom>
        <a:solidFill>
          <a:srgbClr val="FF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49</xdr:col>
          <xdr:colOff>161925</xdr:colOff>
          <xdr:row>54</xdr:row>
          <xdr:rowOff>0</xdr:rowOff>
        </xdr:from>
        <xdr:to>
          <xdr:col>54</xdr:col>
          <xdr:colOff>66675</xdr:colOff>
          <xdr:row>56</xdr:row>
          <xdr:rowOff>123825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BIZ UDPゴシック"/>
                  <a:ea typeface="BIZ UDPゴシック"/>
                </a:rPr>
                <a:t>電報手配</a:t>
              </a:r>
            </a:p>
            <a:p>
              <a:pPr algn="ctr" rtl="0">
                <a:defRPr sz="1000"/>
              </a:pPr>
              <a:r>
                <a:rPr lang="ja-JP" altLang="en-US" sz="1100" b="0" i="0" u="none" strike="noStrike" baseline="0">
                  <a:solidFill>
                    <a:srgbClr val="000000"/>
                  </a:solidFill>
                  <a:latin typeface="BIZ UDPゴシック"/>
                  <a:ea typeface="BIZ UDPゴシック"/>
                </a:rPr>
                <a:t>（メグリア）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9525</xdr:colOff>
          <xdr:row>53</xdr:row>
          <xdr:rowOff>28575</xdr:rowOff>
        </xdr:from>
        <xdr:to>
          <xdr:col>59</xdr:col>
          <xdr:colOff>161925</xdr:colOff>
          <xdr:row>56</xdr:row>
          <xdr:rowOff>114300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BIZ UDPゴシック"/>
                  <a:ea typeface="BIZ UDPゴシック"/>
                </a:rPr>
                <a:t>電報手配</a:t>
              </a:r>
            </a:p>
            <a:p>
              <a:pPr algn="ctr" rtl="0">
                <a:defRPr sz="1000"/>
              </a:pPr>
              <a:r>
                <a:rPr lang="ja-JP" altLang="en-US" sz="1100" b="0" i="0" u="none" strike="noStrike" baseline="0">
                  <a:solidFill>
                    <a:srgbClr val="000000"/>
                  </a:solidFill>
                  <a:latin typeface="BIZ UDPゴシック"/>
                  <a:ea typeface="BIZ UDPゴシック"/>
                </a:rPr>
                <a:t>（D-MAIL）</a:t>
              </a:r>
            </a:p>
          </xdr:txBody>
        </xdr:sp>
        <xdr:clientData fPrintsWithSheet="0"/>
      </xdr:twoCellAnchor>
    </mc:Choice>
    <mc:Fallback/>
  </mc:AlternateContent>
  <xdr:twoCellAnchor>
    <xdr:from>
      <xdr:col>33</xdr:col>
      <xdr:colOff>67236</xdr:colOff>
      <xdr:row>0</xdr:row>
      <xdr:rowOff>67235</xdr:rowOff>
    </xdr:from>
    <xdr:to>
      <xdr:col>34</xdr:col>
      <xdr:colOff>268941</xdr:colOff>
      <xdr:row>62</xdr:row>
      <xdr:rowOff>105833</xdr:rowOff>
    </xdr:to>
    <xdr:sp macro="" textlink="">
      <xdr:nvSpPr>
        <xdr:cNvPr id="10" name="上下矢印 9">
          <a:extLst>
            <a:ext uri="{FF2B5EF4-FFF2-40B4-BE49-F238E27FC236}">
              <a16:creationId xmlns:a16="http://schemas.microsoft.com/office/drawing/2014/main" id="{00000000-0008-0000-0000-00000A000000}"/>
            </a:ext>
          </a:extLst>
        </xdr:cNvPr>
        <xdr:cNvSpPr/>
      </xdr:nvSpPr>
      <xdr:spPr>
        <a:xfrm>
          <a:off x="9348819" y="67235"/>
          <a:ext cx="540372" cy="13775765"/>
        </a:xfrm>
        <a:prstGeom prst="upDownArrow">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1100" b="1">
              <a:solidFill>
                <a:sysClr val="windowText" lastClr="000000"/>
              </a:solidFill>
              <a:effectLst/>
              <a:latin typeface="BIZ UDPゴシック" panose="020B0400000000000000" pitchFamily="50" charset="-128"/>
              <a:ea typeface="BIZ UDPゴシック" panose="020B0400000000000000" pitchFamily="50" charset="-128"/>
              <a:cs typeface="+mn-cs"/>
            </a:rPr>
            <a:t>入力必要（　その後部総括へ提出　）</a:t>
          </a:r>
          <a:endParaRPr lang="ja-JP" altLang="ja-JP">
            <a:solidFill>
              <a:sysClr val="windowText" lastClr="000000"/>
            </a:solidFill>
            <a:effectLst/>
            <a:latin typeface="BIZ UDPゴシック" panose="020B0400000000000000" pitchFamily="50" charset="-128"/>
            <a:ea typeface="BIZ UDPゴシック" panose="020B0400000000000000" pitchFamily="50" charset="-128"/>
          </a:endParaRPr>
        </a:p>
        <a:p>
          <a:pPr algn="ctr"/>
          <a:endParaRPr kumimoji="1" lang="ja-JP" altLang="en-US" sz="1100">
            <a:solidFill>
              <a:sysClr val="windowText" lastClr="000000"/>
            </a:solidFill>
            <a:latin typeface="BIZ UDPゴシック" panose="020B0400000000000000" pitchFamily="50" charset="-128"/>
            <a:ea typeface="BIZ UDPゴシック" panose="020B0400000000000000" pitchFamily="50" charset="-128"/>
          </a:endParaRPr>
        </a:p>
      </xdr:txBody>
    </xdr:sp>
    <xdr:clientData/>
  </xdr:twoCellAnchor>
  <xdr:twoCellAnchor>
    <xdr:from>
      <xdr:col>43</xdr:col>
      <xdr:colOff>222250</xdr:colOff>
      <xdr:row>5</xdr:row>
      <xdr:rowOff>42334</xdr:rowOff>
    </xdr:from>
    <xdr:to>
      <xdr:col>55</xdr:col>
      <xdr:colOff>62634</xdr:colOff>
      <xdr:row>6</xdr:row>
      <xdr:rowOff>83897</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2139083" y="878417"/>
          <a:ext cx="2761384" cy="517813"/>
        </a:xfrm>
        <a:prstGeom prst="rect">
          <a:avLst/>
        </a:prstGeom>
        <a:solidFill>
          <a:schemeClr val="lt1"/>
        </a:solidFill>
        <a:ln w="190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BIZ UDPゴシック" panose="020B0400000000000000" pitchFamily="50" charset="-128"/>
              <a:ea typeface="BIZ UDPゴシック" panose="020B0400000000000000" pitchFamily="50" charset="-128"/>
            </a:rPr>
            <a:t>部長承認後、エクセルデータを</a:t>
          </a:r>
          <a:endParaRPr kumimoji="1" lang="en-US" altLang="ja-JP" sz="1100">
            <a:latin typeface="BIZ UDPゴシック" panose="020B0400000000000000" pitchFamily="50" charset="-128"/>
            <a:ea typeface="BIZ UDPゴシック" panose="020B0400000000000000" pitchFamily="50" charset="-128"/>
          </a:endParaRPr>
        </a:p>
        <a:p>
          <a:r>
            <a:rPr kumimoji="1" lang="ja-JP" altLang="en-US" sz="1100">
              <a:latin typeface="BIZ UDPゴシック" panose="020B0400000000000000" pitchFamily="50" charset="-128"/>
              <a:ea typeface="BIZ UDPゴシック" panose="020B0400000000000000" pitchFamily="50" charset="-128"/>
            </a:rPr>
            <a:t>人事</a:t>
          </a:r>
          <a:r>
            <a:rPr kumimoji="1" lang="en-US" altLang="ja-JP" sz="1100">
              <a:latin typeface="BIZ UDPゴシック" panose="020B0400000000000000" pitchFamily="50" charset="-128"/>
              <a:ea typeface="BIZ UDPゴシック" panose="020B0400000000000000" pitchFamily="50" charset="-128"/>
            </a:rPr>
            <a:t>G</a:t>
          </a:r>
          <a:r>
            <a:rPr kumimoji="1" lang="ja-JP" altLang="en-US" sz="1100">
              <a:latin typeface="BIZ UDPゴシック" panose="020B0400000000000000" pitchFamily="50" charset="-128"/>
              <a:ea typeface="BIZ UDPゴシック" panose="020B0400000000000000" pitchFamily="50" charset="-128"/>
            </a:rPr>
            <a:t>　杉浦</a:t>
          </a:r>
          <a:r>
            <a:rPr kumimoji="1" lang="en-US" altLang="ja-JP" sz="1100">
              <a:latin typeface="BIZ UDPゴシック" panose="020B0400000000000000" pitchFamily="50" charset="-128"/>
              <a:ea typeface="BIZ UDPゴシック" panose="020B0400000000000000" pitchFamily="50" charset="-128"/>
            </a:rPr>
            <a:t>SK</a:t>
          </a:r>
          <a:r>
            <a:rPr kumimoji="1" lang="ja-JP" altLang="en-US" sz="1100">
              <a:latin typeface="BIZ UDPゴシック" panose="020B0400000000000000" pitchFamily="50" charset="-128"/>
              <a:ea typeface="BIZ UDPゴシック" panose="020B0400000000000000" pitchFamily="50" charset="-128"/>
            </a:rPr>
            <a:t>、水野へご送付ください</a:t>
          </a: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59</xdr:row>
          <xdr:rowOff>19050</xdr:rowOff>
        </xdr:from>
        <xdr:to>
          <xdr:col>3</xdr:col>
          <xdr:colOff>9525</xdr:colOff>
          <xdr:row>59</xdr:row>
          <xdr:rowOff>161925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60</xdr:row>
          <xdr:rowOff>19050</xdr:rowOff>
        </xdr:from>
        <xdr:to>
          <xdr:col>3</xdr:col>
          <xdr:colOff>9525</xdr:colOff>
          <xdr:row>60</xdr:row>
          <xdr:rowOff>161925</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18</xdr:col>
      <xdr:colOff>211666</xdr:colOff>
      <xdr:row>55</xdr:row>
      <xdr:rowOff>31750</xdr:rowOff>
    </xdr:from>
    <xdr:to>
      <xdr:col>22</xdr:col>
      <xdr:colOff>412557</xdr:colOff>
      <xdr:row>58</xdr:row>
      <xdr:rowOff>137583</xdr:rowOff>
    </xdr:to>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4963583" y="12594167"/>
          <a:ext cx="1449724" cy="61383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400">
              <a:latin typeface="Meiryo UI" panose="020B0604030504040204" pitchFamily="50" charset="-128"/>
              <a:ea typeface="Meiryo UI" panose="020B0604030504040204" pitchFamily="50" charset="-128"/>
            </a:rPr>
            <a:t>各職場にて実施</a:t>
          </a:r>
        </a:p>
      </xdr:txBody>
    </xdr:sp>
    <xdr:clientData/>
  </xdr:twoCellAnchor>
  <xdr:twoCellAnchor>
    <xdr:from>
      <xdr:col>18</xdr:col>
      <xdr:colOff>222249</xdr:colOff>
      <xdr:row>59</xdr:row>
      <xdr:rowOff>21166</xdr:rowOff>
    </xdr:from>
    <xdr:to>
      <xdr:col>22</xdr:col>
      <xdr:colOff>423139</xdr:colOff>
      <xdr:row>61</xdr:row>
      <xdr:rowOff>134118</xdr:rowOff>
    </xdr:to>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4974166" y="13260916"/>
          <a:ext cx="1449723" cy="4516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400">
              <a:latin typeface="Meiryo UI" panose="020B0604030504040204" pitchFamily="50" charset="-128"/>
              <a:ea typeface="Meiryo UI" panose="020B0604030504040204" pitchFamily="50" charset="-128"/>
            </a:rPr>
            <a:t>人事</a:t>
          </a:r>
          <a:r>
            <a:rPr kumimoji="1" lang="en-US" altLang="ja-JP" sz="1400">
              <a:latin typeface="Meiryo UI" panose="020B0604030504040204" pitchFamily="50" charset="-128"/>
              <a:ea typeface="Meiryo UI" panose="020B0604030504040204" pitchFamily="50" charset="-128"/>
            </a:rPr>
            <a:t>G</a:t>
          </a:r>
          <a:r>
            <a:rPr kumimoji="1" lang="ja-JP" altLang="en-US" sz="1400">
              <a:latin typeface="Meiryo UI" panose="020B0604030504040204" pitchFamily="50" charset="-128"/>
              <a:ea typeface="Meiryo UI" panose="020B0604030504040204" pitchFamily="50" charset="-128"/>
            </a:rPr>
            <a:t>にて実施</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127000</xdr:colOff>
          <xdr:row>1</xdr:row>
          <xdr:rowOff>44450</xdr:rowOff>
        </xdr:from>
        <xdr:to>
          <xdr:col>40</xdr:col>
          <xdr:colOff>1339850</xdr:colOff>
          <xdr:row>1</xdr:row>
          <xdr:rowOff>292100</xdr:rowOff>
        </xdr:to>
        <xdr:pic>
          <xdr:nvPicPr>
            <xdr:cNvPr id="3" name="図 2">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電報（メグリア一括手配）'!$W$2:$AG$2" spid="_x0000_s6937"/>
                </a:ext>
              </a:extLst>
            </xdr:cNvPicPr>
          </xdr:nvPicPr>
          <xdr:blipFill>
            <a:blip xmlns:r="http://schemas.openxmlformats.org/officeDocument/2006/relationships" r:embed="rId1"/>
            <a:srcRect/>
            <a:stretch>
              <a:fillRect/>
            </a:stretch>
          </xdr:blipFill>
          <xdr:spPr bwMode="auto">
            <a:xfrm>
              <a:off x="7493000" y="304800"/>
              <a:ext cx="4349750" cy="247650"/>
            </a:xfrm>
            <a:prstGeom prst="rect">
              <a:avLst/>
            </a:prstGeom>
            <a:solidFill>
              <a:srgbClr val="FFFFFF" mc:Ignorable="a14" a14:legacySpreadsheetColorIndex="9"/>
            </a:solid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4</xdr:row>
          <xdr:rowOff>38100</xdr:rowOff>
        </xdr:from>
        <xdr:to>
          <xdr:col>6</xdr:col>
          <xdr:colOff>57150</xdr:colOff>
          <xdr:row>5</xdr:row>
          <xdr:rowOff>133350</xdr:rowOff>
        </xdr:to>
        <xdr:sp macro="" textlink="">
          <xdr:nvSpPr>
            <xdr:cNvPr id="6858" name="Button 714" hidden="1">
              <a:extLst>
                <a:ext uri="{63B3BB69-23CF-44E3-9099-C40C66FF867C}">
                  <a14:compatExt spid="_x0000_s6858"/>
                </a:ext>
                <a:ext uri="{FF2B5EF4-FFF2-40B4-BE49-F238E27FC236}">
                  <a16:creationId xmlns:a16="http://schemas.microsoft.com/office/drawing/2014/main" id="{00000000-0008-0000-0100-0000CA1A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PDF作成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44450</xdr:colOff>
          <xdr:row>1</xdr:row>
          <xdr:rowOff>38100</xdr:rowOff>
        </xdr:from>
        <xdr:to>
          <xdr:col>40</xdr:col>
          <xdr:colOff>1416050</xdr:colOff>
          <xdr:row>1</xdr:row>
          <xdr:rowOff>285750</xdr:rowOff>
        </xdr:to>
        <xdr:pic>
          <xdr:nvPicPr>
            <xdr:cNvPr id="2" name="図 1">
              <a:extLst>
                <a:ext uri="{FF2B5EF4-FFF2-40B4-BE49-F238E27FC236}">
                  <a16:creationId xmlns:a16="http://schemas.microsoft.com/office/drawing/2014/main" id="{00000000-0008-0000-0200-000002000000}"/>
                </a:ext>
              </a:extLst>
            </xdr:cNvPr>
            <xdr:cNvPicPr>
              <a:picLocks noChangeAspect="1" noChangeArrowheads="1"/>
              <a:extLst>
                <a:ext uri="{84589F7E-364E-4C9E-8A38-B11213B215E9}">
                  <a14:cameraTool cellRange="'電報（メグリア一括手配）'!$W$2:$AG$2" spid="_x0000_s3854"/>
                </a:ext>
              </a:extLst>
            </xdr:cNvPicPr>
          </xdr:nvPicPr>
          <xdr:blipFill>
            <a:blip xmlns:r="http://schemas.openxmlformats.org/officeDocument/2006/relationships" r:embed="rId1"/>
            <a:srcRect/>
            <a:stretch>
              <a:fillRect/>
            </a:stretch>
          </xdr:blipFill>
          <xdr:spPr bwMode="auto">
            <a:xfrm>
              <a:off x="7721600" y="298450"/>
              <a:ext cx="4349750" cy="247650"/>
            </a:xfrm>
            <a:prstGeom prst="rect">
              <a:avLst/>
            </a:prstGeom>
            <a:solidFill>
              <a:srgbClr val="FFFFFF" mc:Ignorable="a14" a14:legacySpreadsheetColorIndex="9"/>
            </a:solid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180975</xdr:rowOff>
        </xdr:from>
        <xdr:to>
          <xdr:col>6</xdr:col>
          <xdr:colOff>28575</xdr:colOff>
          <xdr:row>3</xdr:row>
          <xdr:rowOff>228600</xdr:rowOff>
        </xdr:to>
        <xdr:sp macro="" textlink="">
          <xdr:nvSpPr>
            <xdr:cNvPr id="3777" name="Button 705" hidden="1">
              <a:extLst>
                <a:ext uri="{63B3BB69-23CF-44E3-9099-C40C66FF867C}">
                  <a14:compatExt spid="_x0000_s3777"/>
                </a:ext>
                <a:ext uri="{FF2B5EF4-FFF2-40B4-BE49-F238E27FC236}">
                  <a16:creationId xmlns:a16="http://schemas.microsoft.com/office/drawing/2014/main" id="{00000000-0008-0000-0200-0000C10E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PDF作成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21</xdr:col>
      <xdr:colOff>152400</xdr:colOff>
      <xdr:row>2</xdr:row>
      <xdr:rowOff>28575</xdr:rowOff>
    </xdr:from>
    <xdr:to>
      <xdr:col>32</xdr:col>
      <xdr:colOff>657225</xdr:colOff>
      <xdr:row>5</xdr:row>
      <xdr:rowOff>85725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7620000" y="542925"/>
          <a:ext cx="5143500" cy="857250"/>
        </a:xfrm>
        <a:prstGeom prst="rect">
          <a:avLst/>
        </a:prstGeom>
        <a:solidFill>
          <a:srgbClr val="FFFF00"/>
        </a:solidFill>
        <a:ln w="57150" cmpd="thickThin">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HGPｺﾞｼｯｸE" panose="020B0900000000000000" pitchFamily="50" charset="-128"/>
              <a:ea typeface="HGPｺﾞｼｯｸE" panose="020B0900000000000000" pitchFamily="50" charset="-128"/>
            </a:rPr>
            <a:t>◇</a:t>
          </a:r>
          <a:r>
            <a:rPr kumimoji="1" lang="ja-JP" altLang="en-US" sz="1200" b="1">
              <a:solidFill>
                <a:srgbClr val="FF0000"/>
              </a:solidFill>
              <a:latin typeface="HGPｺﾞｼｯｸE" panose="020B0900000000000000" pitchFamily="50" charset="-128"/>
              <a:ea typeface="HGPｺﾞｼｯｸE" panose="020B0900000000000000" pitchFamily="50" charset="-128"/>
            </a:rPr>
            <a:t>２０２３年１月１１日～ＦＡＸでの申込が廃止</a:t>
          </a:r>
          <a:r>
            <a:rPr kumimoji="1" lang="ja-JP" altLang="en-US" sz="1100" b="1">
              <a:latin typeface="HGPｺﾞｼｯｸE" panose="020B0900000000000000" pitchFamily="50" charset="-128"/>
              <a:ea typeface="HGPｺﾞｼｯｸE" panose="020B0900000000000000" pitchFamily="50" charset="-128"/>
            </a:rPr>
            <a:t>となりました。</a:t>
          </a:r>
          <a:endParaRPr kumimoji="1" lang="en-US" altLang="ja-JP" sz="1100" b="1">
            <a:latin typeface="HGPｺﾞｼｯｸE" panose="020B0900000000000000" pitchFamily="50" charset="-128"/>
            <a:ea typeface="HGPｺﾞｼｯｸE" panose="020B0900000000000000" pitchFamily="50" charset="-128"/>
          </a:endParaRPr>
        </a:p>
        <a:p>
          <a:r>
            <a:rPr kumimoji="1" lang="ja-JP" altLang="en-US" sz="1100" b="1">
              <a:latin typeface="HGPｺﾞｼｯｸE" panose="020B0900000000000000" pitchFamily="50" charset="-128"/>
              <a:ea typeface="HGPｺﾞｼｯｸE" panose="020B0900000000000000" pitchFamily="50" charset="-128"/>
            </a:rPr>
            <a:t>　 ＷＥＢ（</a:t>
          </a:r>
          <a:r>
            <a:rPr kumimoji="1" lang="en-US" altLang="ja-JP" sz="1100" b="1">
              <a:latin typeface="HGPｺﾞｼｯｸE" panose="020B0900000000000000" pitchFamily="50" charset="-128"/>
              <a:ea typeface="HGPｺﾞｼｯｸE" panose="020B0900000000000000" pitchFamily="50" charset="-128"/>
            </a:rPr>
            <a:t>D-MAIL</a:t>
          </a:r>
          <a:r>
            <a:rPr kumimoji="1" lang="ja-JP" altLang="en-US" sz="1100" b="1">
              <a:latin typeface="HGPｺﾞｼｯｸE" panose="020B0900000000000000" pitchFamily="50" charset="-128"/>
              <a:ea typeface="HGPｺﾞｼｯｸE" panose="020B0900000000000000" pitchFamily="50" charset="-128"/>
            </a:rPr>
            <a:t>）で申し込みください</a:t>
          </a:r>
          <a:endParaRPr kumimoji="1" lang="en-US" altLang="ja-JP" sz="1100" b="1">
            <a:latin typeface="HGPｺﾞｼｯｸE" panose="020B0900000000000000" pitchFamily="50" charset="-128"/>
            <a:ea typeface="HGPｺﾞｼｯｸE" panose="020B0900000000000000" pitchFamily="50" charset="-128"/>
          </a:endParaRPr>
        </a:p>
        <a:p>
          <a:r>
            <a:rPr kumimoji="1" lang="ja-JP" altLang="en-US" sz="1200" b="1" u="none">
              <a:solidFill>
                <a:srgbClr val="0070C0"/>
              </a:solidFill>
            </a:rPr>
            <a:t>　</a:t>
          </a:r>
          <a:r>
            <a:rPr kumimoji="1" lang="ja-JP" altLang="en-US" sz="1800" b="1" u="none">
              <a:solidFill>
                <a:srgbClr val="0070C0"/>
              </a:solidFill>
              <a:latin typeface="HGP創英角ｺﾞｼｯｸUB" panose="020B0900000000000000" pitchFamily="50" charset="-128"/>
              <a:ea typeface="HGP創英角ｺﾞｼｯｸUB" panose="020B0900000000000000" pitchFamily="50" charset="-128"/>
            </a:rPr>
            <a:t>！注意！　この帳票を</a:t>
          </a:r>
          <a:r>
            <a:rPr kumimoji="1" lang="en-US" altLang="ja-JP" sz="1800" b="1" u="none">
              <a:solidFill>
                <a:srgbClr val="0070C0"/>
              </a:solidFill>
              <a:latin typeface="HGP創英角ｺﾞｼｯｸUB" panose="020B0900000000000000" pitchFamily="50" charset="-128"/>
              <a:ea typeface="HGP創英角ｺﾞｼｯｸUB" panose="020B0900000000000000" pitchFamily="50" charset="-128"/>
            </a:rPr>
            <a:t>NTT</a:t>
          </a:r>
          <a:r>
            <a:rPr kumimoji="1" lang="ja-JP" altLang="en-US" sz="1800" b="1" u="none">
              <a:solidFill>
                <a:srgbClr val="0070C0"/>
              </a:solidFill>
              <a:latin typeface="HGP創英角ｺﾞｼｯｸUB" panose="020B0900000000000000" pitchFamily="50" charset="-128"/>
              <a:ea typeface="HGP創英角ｺﾞｼｯｸUB" panose="020B0900000000000000" pitchFamily="50" charset="-128"/>
            </a:rPr>
            <a:t>に</a:t>
          </a:r>
          <a:r>
            <a:rPr kumimoji="1" lang="en-US" altLang="ja-JP" sz="1800" b="1" u="none">
              <a:solidFill>
                <a:srgbClr val="0070C0"/>
              </a:solidFill>
              <a:latin typeface="HGP創英角ｺﾞｼｯｸUB" panose="020B0900000000000000" pitchFamily="50" charset="-128"/>
              <a:ea typeface="HGP創英角ｺﾞｼｯｸUB" panose="020B0900000000000000" pitchFamily="50" charset="-128"/>
            </a:rPr>
            <a:t>FAX</a:t>
          </a:r>
          <a:r>
            <a:rPr kumimoji="1" lang="ja-JP" altLang="en-US" sz="1800" b="1" u="none">
              <a:solidFill>
                <a:srgbClr val="0070C0"/>
              </a:solidFill>
              <a:latin typeface="HGP創英角ｺﾞｼｯｸUB" panose="020B0900000000000000" pitchFamily="50" charset="-128"/>
              <a:ea typeface="HGP創英角ｺﾞｼｯｸUB" panose="020B0900000000000000" pitchFamily="50" charset="-128"/>
            </a:rPr>
            <a:t>しないでください</a:t>
          </a:r>
        </a:p>
      </xdr:txBody>
    </xdr:sp>
    <xdr:clientData/>
  </xdr:twoCellAnchor>
  <mc:AlternateContent xmlns:mc="http://schemas.openxmlformats.org/markup-compatibility/2006">
    <mc:Choice xmlns:a14="http://schemas.microsoft.com/office/drawing/2010/main" Requires="a14">
      <xdr:twoCellAnchor editAs="oneCell">
        <xdr:from>
          <xdr:col>0</xdr:col>
          <xdr:colOff>152400</xdr:colOff>
          <xdr:row>1</xdr:row>
          <xdr:rowOff>390525</xdr:rowOff>
        </xdr:from>
        <xdr:to>
          <xdr:col>3</xdr:col>
          <xdr:colOff>9525</xdr:colOff>
          <xdr:row>3</xdr:row>
          <xdr:rowOff>66675</xdr:rowOff>
        </xdr:to>
        <xdr:sp macro="" textlink="">
          <xdr:nvSpPr>
            <xdr:cNvPr id="9218" name="PDF"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21</xdr:col>
      <xdr:colOff>171450</xdr:colOff>
      <xdr:row>14</xdr:row>
      <xdr:rowOff>85725</xdr:rowOff>
    </xdr:from>
    <xdr:to>
      <xdr:col>29</xdr:col>
      <xdr:colOff>229658</xdr:colOff>
      <xdr:row>17</xdr:row>
      <xdr:rowOff>109008</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7639050" y="3590925"/>
          <a:ext cx="3191933" cy="556683"/>
        </a:xfrm>
        <a:prstGeom prst="rect">
          <a:avLst/>
        </a:prstGeom>
        <a:solidFill>
          <a:schemeClr val="accent4">
            <a:lumMod val="20000"/>
            <a:lumOff val="80000"/>
          </a:schemeClr>
        </a:solidFill>
        <a:ln w="15875">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latin typeface="Meiryo UI" panose="020B0604030504040204" pitchFamily="50" charset="-128"/>
              <a:ea typeface="Meiryo UI" panose="020B0604030504040204" pitchFamily="50" charset="-128"/>
            </a:rPr>
            <a:t>（例） 斎場で開催、申請者が喪主ではない場合</a:t>
          </a:r>
          <a:endParaRPr kumimoji="1" lang="en-US" altLang="ja-JP" sz="900">
            <a:latin typeface="Meiryo UI" panose="020B0604030504040204" pitchFamily="50" charset="-128"/>
            <a:ea typeface="Meiryo UI" panose="020B0604030504040204" pitchFamily="50" charset="-128"/>
          </a:endParaRPr>
        </a:p>
        <a:p>
          <a:pPr algn="l"/>
          <a:r>
            <a:rPr kumimoji="1" lang="ja-JP" altLang="en-US" sz="900">
              <a:latin typeface="Meiryo UI" panose="020B0604030504040204" pitchFamily="50" charset="-128"/>
              <a:ea typeface="Meiryo UI" panose="020B0604030504040204" pitchFamily="50" charset="-128"/>
            </a:rPr>
            <a:t>　△△（喪主の名前）様 気付　□□様（申請者の名前）</a:t>
          </a:r>
          <a:endParaRPr kumimoji="1" lang="en-US" altLang="ja-JP" sz="900">
            <a:latin typeface="Meiryo UI" panose="020B0604030504040204" pitchFamily="50" charset="-128"/>
            <a:ea typeface="Meiryo UI" panose="020B0604030504040204" pitchFamily="50" charset="-128"/>
          </a:endParaRPr>
        </a:p>
      </xdr:txBody>
    </xdr:sp>
    <xdr:clientData/>
  </xdr:twoCellAnchor>
  <xdr:twoCellAnchor>
    <xdr:from>
      <xdr:col>29</xdr:col>
      <xdr:colOff>323850</xdr:colOff>
      <xdr:row>26</xdr:row>
      <xdr:rowOff>9525</xdr:rowOff>
    </xdr:from>
    <xdr:to>
      <xdr:col>35</xdr:col>
      <xdr:colOff>214842</xdr:colOff>
      <xdr:row>30</xdr:row>
      <xdr:rowOff>105833</xdr:rowOff>
    </xdr:to>
    <xdr:sp macro="" textlink="">
      <xdr:nvSpPr>
        <xdr:cNvPr id="4" name="正方形/長方形 3">
          <a:extLst>
            <a:ext uri="{FF2B5EF4-FFF2-40B4-BE49-F238E27FC236}">
              <a16:creationId xmlns:a16="http://schemas.microsoft.com/office/drawing/2014/main" id="{00000000-0008-0000-0300-000004000000}"/>
            </a:ext>
          </a:extLst>
        </xdr:cNvPr>
        <xdr:cNvSpPr/>
      </xdr:nvSpPr>
      <xdr:spPr>
        <a:xfrm>
          <a:off x="10925175" y="5838825"/>
          <a:ext cx="3453342" cy="744008"/>
        </a:xfrm>
        <a:prstGeom prst="rect">
          <a:avLst/>
        </a:prstGeom>
        <a:solidFill>
          <a:schemeClr val="accent4">
            <a:lumMod val="20000"/>
            <a:lumOff val="80000"/>
          </a:schemeClr>
        </a:solidFill>
        <a:ln w="15875">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latin typeface="Meiryo UI" panose="020B0604030504040204" pitchFamily="50" charset="-128"/>
              <a:ea typeface="Meiryo UI" panose="020B0604030504040204" pitchFamily="50" charset="-128"/>
            </a:rPr>
            <a:t>＜所属職制連名　の場合＞</a:t>
          </a:r>
          <a:endParaRPr kumimoji="1" lang="en-US" altLang="ja-JP" sz="900">
            <a:latin typeface="Meiryo UI" panose="020B0604030504040204" pitchFamily="50" charset="-128"/>
            <a:ea typeface="Meiryo UI" panose="020B0604030504040204" pitchFamily="50" charset="-128"/>
          </a:endParaRPr>
        </a:p>
        <a:p>
          <a:pPr algn="l"/>
          <a:r>
            <a:rPr kumimoji="1" lang="ja-JP" altLang="en-US" sz="900">
              <a:latin typeface="Meiryo UI" panose="020B0604030504040204" pitchFamily="50" charset="-128"/>
              <a:ea typeface="Meiryo UI" panose="020B0604030504040204" pitchFamily="50" charset="-128"/>
            </a:rPr>
            <a:t>○○部　部長　○○　○○　室長　△△　△△　</a:t>
          </a:r>
          <a:r>
            <a:rPr kumimoji="1" lang="en-US" altLang="ja-JP" sz="900">
              <a:latin typeface="Meiryo UI" panose="020B0604030504040204" pitchFamily="50" charset="-128"/>
              <a:ea typeface="Meiryo UI" panose="020B0604030504040204" pitchFamily="50" charset="-128"/>
            </a:rPr>
            <a:t>GM</a:t>
          </a:r>
          <a:r>
            <a:rPr kumimoji="1" lang="ja-JP" altLang="en-US" sz="900">
              <a:latin typeface="Meiryo UI" panose="020B0604030504040204" pitchFamily="50" charset="-128"/>
              <a:ea typeface="Meiryo UI" panose="020B0604030504040204" pitchFamily="50" charset="-128"/>
            </a:rPr>
            <a:t>　□□　□□</a:t>
          </a:r>
          <a:endParaRPr kumimoji="1" lang="en-US" altLang="ja-JP" sz="900">
            <a:latin typeface="Meiryo UI" panose="020B0604030504040204" pitchFamily="50" charset="-128"/>
            <a:ea typeface="Meiryo UI" panose="020B0604030504040204" pitchFamily="50" charset="-128"/>
          </a:endParaRPr>
        </a:p>
        <a:p>
          <a:pPr algn="l"/>
          <a:r>
            <a:rPr kumimoji="1" lang="ja-JP" altLang="en-US" sz="900">
              <a:latin typeface="Meiryo UI" panose="020B0604030504040204" pitchFamily="50" charset="-128"/>
              <a:ea typeface="Meiryo UI" panose="020B0604030504040204" pitchFamily="50" charset="-128"/>
            </a:rPr>
            <a:t>漢字氏名のみ、読み仮名は不要　</a:t>
          </a:r>
          <a:endParaRPr kumimoji="1" lang="en-US" altLang="ja-JP" sz="900">
            <a:latin typeface="Meiryo UI" panose="020B0604030504040204" pitchFamily="50" charset="-128"/>
            <a:ea typeface="Meiryo UI" panose="020B0604030504040204" pitchFamily="50" charset="-128"/>
          </a:endParaRPr>
        </a:p>
      </xdr:txBody>
    </xdr:sp>
    <xdr:clientData/>
  </xdr:twoCellAnchor>
  <xdr:twoCellAnchor>
    <xdr:from>
      <xdr:col>24</xdr:col>
      <xdr:colOff>400051</xdr:colOff>
      <xdr:row>6</xdr:row>
      <xdr:rowOff>228601</xdr:rowOff>
    </xdr:from>
    <xdr:to>
      <xdr:col>34</xdr:col>
      <xdr:colOff>485775</xdr:colOff>
      <xdr:row>12</xdr:row>
      <xdr:rowOff>171450</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8953501" y="1933576"/>
          <a:ext cx="5010149" cy="1304924"/>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eiryo UI" panose="020B0604030504040204" pitchFamily="50" charset="-128"/>
              <a:ea typeface="Meiryo UI" panose="020B0604030504040204" pitchFamily="50" charset="-128"/>
            </a:rPr>
            <a:t>メグリアセレモニーホールへ供花依頼する場合、</a:t>
          </a:r>
          <a:endParaRPr kumimoji="1" lang="en-US" altLang="ja-JP" sz="1100" b="1">
            <a:latin typeface="Meiryo UI" panose="020B0604030504040204" pitchFamily="50" charset="-128"/>
            <a:ea typeface="Meiryo UI" panose="020B0604030504040204" pitchFamily="50" charset="-128"/>
          </a:endParaRPr>
        </a:p>
        <a:p>
          <a:r>
            <a:rPr kumimoji="1" lang="ja-JP" altLang="en-US" sz="1100" b="1">
              <a:latin typeface="Meiryo UI" panose="020B0604030504040204" pitchFamily="50" charset="-128"/>
              <a:ea typeface="Meiryo UI" panose="020B0604030504040204" pitchFamily="50" charset="-128"/>
            </a:rPr>
            <a:t>供花＋弔電をセットでメール依頼が可能</a:t>
          </a:r>
          <a:endParaRPr kumimoji="1" lang="en-US" altLang="ja-JP" sz="1100" b="1">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　・供花依頼書、弔慰電報依頼書（当シート）を別のファイルに保存し、メールで送付</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　・メール送付後、電話確認ください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　</a:t>
          </a:r>
          <a:r>
            <a:rPr kumimoji="1" lang="en-US" altLang="ja-JP" sz="1100">
              <a:latin typeface="Meiryo UI" panose="020B0604030504040204" pitchFamily="50" charset="-128"/>
              <a:ea typeface="Meiryo UI" panose="020B0604030504040204" pitchFamily="50" charset="-128"/>
            </a:rPr>
            <a:t>Email</a:t>
          </a:r>
          <a:r>
            <a:rPr kumimoji="1" lang="ja-JP" altLang="en-US" sz="1100" baseline="0">
              <a:latin typeface="Meiryo UI" panose="020B0604030504040204" pitchFamily="50" charset="-128"/>
              <a:ea typeface="Meiryo UI" panose="020B0604030504040204" pitchFamily="50" charset="-128"/>
            </a:rPr>
            <a:t> </a:t>
          </a:r>
          <a:r>
            <a:rPr kumimoji="1" lang="en-US" altLang="ja-JP" sz="1100">
              <a:latin typeface="Meiryo UI" panose="020B0604030504040204" pitchFamily="50" charset="-128"/>
              <a:ea typeface="Meiryo UI" panose="020B0604030504040204" pitchFamily="50" charset="-128"/>
            </a:rPr>
            <a:t>:</a:t>
          </a:r>
          <a:r>
            <a:rPr kumimoji="1" lang="ja-JP" altLang="en-US" sz="1100" baseline="0">
              <a:latin typeface="Meiryo UI" panose="020B0604030504040204" pitchFamily="50" charset="-128"/>
              <a:ea typeface="Meiryo UI" panose="020B0604030504040204" pitchFamily="50" charset="-128"/>
            </a:rPr>
            <a:t> </a:t>
          </a:r>
          <a:r>
            <a:rPr kumimoji="1" lang="en-US" altLang="ja-JP" sz="1100">
              <a:latin typeface="Meiryo UI" panose="020B0604030504040204" pitchFamily="50" charset="-128"/>
              <a:ea typeface="Meiryo UI" panose="020B0604030504040204" pitchFamily="50" charset="-128"/>
            </a:rPr>
            <a:t>memoriaru@meglia.or.jp</a:t>
          </a:r>
          <a:r>
            <a:rPr kumimoji="1" lang="ja-JP" altLang="en-US" sz="1100">
              <a:latin typeface="Meiryo UI" panose="020B0604030504040204" pitchFamily="50" charset="-128"/>
              <a:ea typeface="Meiryo UI" panose="020B0604030504040204" pitchFamily="50" charset="-128"/>
            </a:rPr>
            <a:t>　　</a:t>
          </a:r>
          <a:r>
            <a:rPr kumimoji="1" lang="en-US" altLang="ja-JP" sz="1100">
              <a:latin typeface="Meiryo UI" panose="020B0604030504040204" pitchFamily="50" charset="-128"/>
              <a:ea typeface="Meiryo UI" panose="020B0604030504040204" pitchFamily="50" charset="-128"/>
            </a:rPr>
            <a:t>TEL</a:t>
          </a:r>
          <a:r>
            <a:rPr kumimoji="1" lang="ja-JP" altLang="en-US" sz="1100" baseline="0">
              <a:latin typeface="Meiryo UI" panose="020B0604030504040204" pitchFamily="50" charset="-128"/>
              <a:ea typeface="Meiryo UI" panose="020B0604030504040204" pitchFamily="50" charset="-128"/>
            </a:rPr>
            <a:t> </a:t>
          </a:r>
          <a:r>
            <a:rPr kumimoji="1" lang="en-US" altLang="ja-JP" sz="1100" baseline="0">
              <a:latin typeface="Meiryo UI" panose="020B0604030504040204" pitchFamily="50" charset="-128"/>
              <a:ea typeface="Meiryo UI" panose="020B0604030504040204" pitchFamily="50" charset="-128"/>
            </a:rPr>
            <a:t>: </a:t>
          </a:r>
          <a:r>
            <a:rPr kumimoji="1" lang="en-US" altLang="ja-JP" sz="1100">
              <a:latin typeface="Meiryo UI" panose="020B0604030504040204" pitchFamily="50" charset="-128"/>
              <a:ea typeface="Meiryo UI" panose="020B0604030504040204" pitchFamily="50" charset="-128"/>
            </a:rPr>
            <a:t>0565-24-3655</a:t>
          </a:r>
          <a:endParaRPr kumimoji="1" lang="ja-JP" altLang="en-US" sz="1100">
            <a:latin typeface="Meiryo UI" panose="020B0604030504040204" pitchFamily="50" charset="-128"/>
            <a:ea typeface="Meiryo UI"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342899</xdr:colOff>
      <xdr:row>3</xdr:row>
      <xdr:rowOff>0</xdr:rowOff>
    </xdr:from>
    <xdr:to>
      <xdr:col>18</xdr:col>
      <xdr:colOff>619124</xdr:colOff>
      <xdr:row>8</xdr:row>
      <xdr:rowOff>104776</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6610349" y="428625"/>
          <a:ext cx="5762625" cy="962026"/>
        </a:xfrm>
        <a:prstGeom prst="rect">
          <a:avLst/>
        </a:prstGeom>
        <a:solidFill>
          <a:srgbClr val="FFFF00"/>
        </a:solidFill>
        <a:ln w="57150" cmpd="thickThin">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t>◇</a:t>
          </a:r>
          <a:r>
            <a:rPr kumimoji="1" lang="ja-JP" altLang="en-US" sz="1600" b="1">
              <a:solidFill>
                <a:srgbClr val="FF0000"/>
              </a:solidFill>
            </a:rPr>
            <a:t>２０２３年１月１１日～ＦＡＸでの申込が廃止</a:t>
          </a:r>
          <a:r>
            <a:rPr kumimoji="1" lang="ja-JP" altLang="en-US" sz="1400" b="1"/>
            <a:t>となりました。</a:t>
          </a:r>
          <a:endParaRPr kumimoji="1" lang="en-US" altLang="ja-JP" sz="1400" b="1"/>
        </a:p>
        <a:p>
          <a:r>
            <a:rPr kumimoji="1" lang="ja-JP" altLang="en-US" sz="1400" b="1"/>
            <a:t>　ＷＥＢ（</a:t>
          </a:r>
          <a:r>
            <a:rPr kumimoji="1" lang="en-US" altLang="ja-JP" sz="1400" b="1"/>
            <a:t>D-MAIL</a:t>
          </a:r>
          <a:r>
            <a:rPr kumimoji="1" lang="ja-JP" altLang="en-US" sz="1400" b="1"/>
            <a:t>）で申し込みください</a:t>
          </a:r>
          <a:endParaRPr kumimoji="1" lang="ja-JP" altLang="en-US" sz="1400" b="1" u="sng">
            <a:solidFill>
              <a:srgbClr val="0070C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mc03fs12\QX\mikawa\qx\rx%20gx%20lx\rx300%20atm\CRdata%209.2\CRdata%209.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mc03fs01\ac\&#32207;&#21209;&#23460;\&#28169;&#22806;&#65319;\E02&#12414;&#12427;&#21830;\&#12506;&#12540;&#12497;&#12540;&#12524;&#12473;&#21270;\2020&#24180;7&#26376;&#65288;T-click&#21270;&#65289;\&#24115;&#31080;&#20316;&#25104;\&#29983;&#25216;&#31649;\&#20491;&#21029;&#12467;&#12531;&#12486;&#12531;&#12484;&#25918;&#36865;&#20381;&#38972;&#2636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193\&#20154;&#21729;&#34920;\2001&#24180;&#20998;\&#20154;&#21729;&#34920;123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Sheet4"/>
      <sheetName val="年"/>
      <sheetName val="マイル"/>
      <sheetName val="correlation chart"/>
      <sheetName val="summary"/>
      <sheetName val="Filtered_Query_Results"/>
      <sheetName val="Pivot&amp;Chart_by_Component"/>
      <sheetName val="QuerySnapShot"/>
      <sheetName val="CRdata 9.2"/>
      <sheetName val="電報（東日本エリア以外）"/>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コンテンツの放送先"/>
      <sheetName val="地区一覧"/>
      <sheetName val="マスタ"/>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グラフ"/>
      <sheetName val="Sheet10"/>
      <sheetName val="全社"/>
      <sheetName val="名古屋"/>
      <sheetName val="東京"/>
      <sheetName val="豊田"/>
      <sheetName val="全社Ｐ"/>
      <sheetName val="名古屋Ｐ"/>
      <sheetName val="東京Ｐ"/>
      <sheetName val="豊田Ｐ"/>
      <sheetName val="全社Ｄ"/>
      <sheetName val="名古屋D"/>
      <sheetName val="東京D"/>
      <sheetName val="豊田D"/>
      <sheetName val="部署"/>
      <sheetName val="職種 "/>
      <sheetName val="役職 "/>
      <sheetName val="社員区分 "/>
      <sheetName val="場所"/>
      <sheetName val="性別"/>
      <sheetName val="オリジン"/>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hyperlink" Target="mailto:ag-mikinokai@mail.toyota.co.jp"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8"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mailto:ikwatanabe@orion.ocn.ne.jp" TargetMode="External"/><Relationship Id="rId7" Type="http://schemas.openxmlformats.org/officeDocument/2006/relationships/drawing" Target="../drawings/drawing2.xml"/><Relationship Id="rId2" Type="http://schemas.openxmlformats.org/officeDocument/2006/relationships/hyperlink" Target="mailto:hanakei@lion.ocn.ne.jp" TargetMode="External"/><Relationship Id="rId1" Type="http://schemas.openxmlformats.org/officeDocument/2006/relationships/hyperlink" Target="https://www.izumososai.jp/" TargetMode="External"/><Relationship Id="rId6" Type="http://schemas.openxmlformats.org/officeDocument/2006/relationships/printerSettings" Target="../printerSettings/printerSettings2.bin"/><Relationship Id="rId5" Type="http://schemas.openxmlformats.org/officeDocument/2006/relationships/hyperlink" Target="https://www.megliasougi.jp/" TargetMode="External"/><Relationship Id="rId10" Type="http://schemas.openxmlformats.org/officeDocument/2006/relationships/comments" Target="../comments2.xml"/><Relationship Id="rId4" Type="http://schemas.openxmlformats.org/officeDocument/2006/relationships/hyperlink" Target="mailto:info@hashimoto-flower.com" TargetMode="External"/><Relationship Id="rId9" Type="http://schemas.openxmlformats.org/officeDocument/2006/relationships/ctrlProp" Target="../ctrlProps/ctrlProp29.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mailto:ikwatanabe@orion.ocn.ne.jp" TargetMode="External"/><Relationship Id="rId7" Type="http://schemas.openxmlformats.org/officeDocument/2006/relationships/drawing" Target="../drawings/drawing3.xml"/><Relationship Id="rId2" Type="http://schemas.openxmlformats.org/officeDocument/2006/relationships/hyperlink" Target="mailto:hanakei@lion.ocn.ne.jp" TargetMode="External"/><Relationship Id="rId1" Type="http://schemas.openxmlformats.org/officeDocument/2006/relationships/hyperlink" Target="https://www.izumososai.jp/" TargetMode="External"/><Relationship Id="rId6" Type="http://schemas.openxmlformats.org/officeDocument/2006/relationships/printerSettings" Target="../printerSettings/printerSettings3.bin"/><Relationship Id="rId5" Type="http://schemas.openxmlformats.org/officeDocument/2006/relationships/hyperlink" Target="https://www.megliasougi.jp/" TargetMode="External"/><Relationship Id="rId10" Type="http://schemas.openxmlformats.org/officeDocument/2006/relationships/comments" Target="../comments3.xml"/><Relationship Id="rId4" Type="http://schemas.openxmlformats.org/officeDocument/2006/relationships/hyperlink" Target="mailto:info@hashimoto-flower.com" TargetMode="External"/><Relationship Id="rId9" Type="http://schemas.openxmlformats.org/officeDocument/2006/relationships/ctrlProp" Target="../ctrlProps/ctrlProp3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6.bin"/><Relationship Id="rId1" Type="http://schemas.openxmlformats.org/officeDocument/2006/relationships/hyperlink" Target="mailto:aa-choji@mail.toyota.co.jp" TargetMode="Externa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5"/>
    <pageSetUpPr fitToPage="1"/>
  </sheetPr>
  <dimension ref="A1:BR91"/>
  <sheetViews>
    <sheetView showGridLines="0" tabSelected="1" topLeftCell="A13" zoomScale="90" zoomScaleNormal="90" zoomScaleSheetLayoutView="85" workbookViewId="0">
      <selection activeCell="L57" sqref="L57"/>
    </sheetView>
  </sheetViews>
  <sheetFormatPr defaultColWidth="3.25" defaultRowHeight="13.5"/>
  <cols>
    <col min="1" max="1" width="4.625" style="5" customWidth="1"/>
    <col min="2" max="2" width="2.875" style="5" customWidth="1"/>
    <col min="3" max="3" width="2.75" style="5" customWidth="1"/>
    <col min="4" max="5" width="3.25" style="5"/>
    <col min="6" max="6" width="4.375" style="5" bestFit="1" customWidth="1"/>
    <col min="7" max="7" width="3.25" style="5"/>
    <col min="8" max="8" width="4.375" style="5" bestFit="1" customWidth="1"/>
    <col min="9" max="12" width="3.25" style="5"/>
    <col min="13" max="13" width="4.25" style="5" customWidth="1"/>
    <col min="14" max="14" width="3.25" style="5"/>
    <col min="15" max="15" width="4.25" style="5" customWidth="1"/>
    <col min="16" max="16" width="1.5" style="5" customWidth="1"/>
    <col min="17" max="17" width="4.25" style="5" customWidth="1"/>
    <col min="18" max="18" width="3.25" style="5" customWidth="1"/>
    <col min="19" max="19" width="4.25" style="5" customWidth="1"/>
    <col min="20" max="20" width="4.5" style="5" bestFit="1" customWidth="1"/>
    <col min="21" max="21" width="3.25" style="5"/>
    <col min="22" max="22" width="4.5" style="5" bestFit="1" customWidth="1"/>
    <col min="23" max="23" width="5.875" style="5" customWidth="1"/>
    <col min="24" max="24" width="1.875" style="5" customWidth="1"/>
    <col min="25" max="25" width="4" style="5" customWidth="1"/>
    <col min="26" max="26" width="4.375" style="5" customWidth="1"/>
    <col min="27" max="27" width="3.5" style="5" customWidth="1"/>
    <col min="28" max="33" width="3.875" style="5" customWidth="1"/>
    <col min="34" max="34" width="4.5" style="5" customWidth="1"/>
    <col min="35" max="35" width="4.375" style="5" customWidth="1"/>
    <col min="36" max="36" width="3.375" style="5" customWidth="1"/>
    <col min="37" max="42" width="3.25" style="5"/>
    <col min="43" max="43" width="3.25" style="5" customWidth="1"/>
    <col min="44" max="60" width="3.25" style="5"/>
    <col min="61" max="61" width="4.875" style="5" customWidth="1"/>
    <col min="62" max="16384" width="3.25" style="5"/>
  </cols>
  <sheetData>
    <row r="1" spans="1:70">
      <c r="F1" s="176" t="s">
        <v>0</v>
      </c>
      <c r="AE1" s="275"/>
      <c r="AF1" s="275"/>
      <c r="AG1" s="276" t="s">
        <v>1</v>
      </c>
      <c r="AJ1" s="154"/>
    </row>
    <row r="2" spans="1:70" ht="20.100000000000001" customHeight="1">
      <c r="F2" s="124" t="s">
        <v>2</v>
      </c>
      <c r="W2" s="408" t="s">
        <v>3</v>
      </c>
      <c r="X2" s="408"/>
      <c r="Y2" s="407"/>
      <c r="Z2" s="407"/>
      <c r="AA2" s="5" t="s">
        <v>4</v>
      </c>
      <c r="AC2" s="5" t="s">
        <v>5</v>
      </c>
      <c r="AE2" s="5" t="s">
        <v>6</v>
      </c>
      <c r="AF2" s="409" t="s">
        <v>7</v>
      </c>
      <c r="AG2" s="409"/>
      <c r="AJ2" s="126"/>
      <c r="AK2" s="5" t="s">
        <v>8</v>
      </c>
      <c r="AO2" s="127"/>
      <c r="AP2" s="5" t="s">
        <v>9</v>
      </c>
      <c r="AT2" s="128"/>
      <c r="AU2" s="5" t="s">
        <v>10</v>
      </c>
    </row>
    <row r="3" spans="1:70" ht="18.75" customHeight="1">
      <c r="F3" s="124" t="s">
        <v>11</v>
      </c>
      <c r="N3" s="129" t="s">
        <v>12</v>
      </c>
      <c r="X3" s="410" t="s">
        <v>13</v>
      </c>
      <c r="Y3" s="410"/>
      <c r="Z3" s="410"/>
      <c r="AA3" s="410"/>
      <c r="AB3" s="411" t="s">
        <v>14</v>
      </c>
      <c r="AC3" s="411"/>
      <c r="AD3" s="411"/>
      <c r="AE3" s="411"/>
      <c r="AF3" s="411"/>
      <c r="AG3" s="411"/>
      <c r="AJ3" s="483" t="s">
        <v>15</v>
      </c>
      <c r="AK3" s="483"/>
      <c r="AL3" s="483"/>
      <c r="AM3" s="483"/>
      <c r="AN3" s="483"/>
    </row>
    <row r="4" spans="1:70" ht="14.25" thickBot="1">
      <c r="F4" s="124" t="s">
        <v>16</v>
      </c>
      <c r="N4" s="129" t="s">
        <v>17</v>
      </c>
      <c r="X4" s="130"/>
      <c r="Y4" s="416" t="s">
        <v>18</v>
      </c>
      <c r="Z4" s="417"/>
      <c r="AB4" s="419" t="s">
        <v>19</v>
      </c>
      <c r="AC4" s="420"/>
      <c r="AD4" s="419" t="s">
        <v>20</v>
      </c>
      <c r="AE4" s="420"/>
      <c r="AF4" s="419" t="s">
        <v>21</v>
      </c>
      <c r="AG4" s="420"/>
      <c r="AJ4" s="483"/>
      <c r="AK4" s="483"/>
      <c r="AL4" s="483"/>
      <c r="AM4" s="483"/>
      <c r="AN4" s="483"/>
    </row>
    <row r="5" spans="1:70" ht="4.5" hidden="1" customHeight="1">
      <c r="Y5" s="412"/>
      <c r="Z5" s="413"/>
      <c r="AB5" s="361"/>
      <c r="AC5" s="363"/>
      <c r="AD5" s="361"/>
      <c r="AE5" s="363"/>
      <c r="AF5" s="361"/>
      <c r="AG5" s="363"/>
    </row>
    <row r="6" spans="1:70" ht="38.1" customHeight="1">
      <c r="A6" s="131" t="s">
        <v>22</v>
      </c>
      <c r="B6" s="132"/>
      <c r="Y6" s="414"/>
      <c r="Z6" s="415"/>
      <c r="AA6" s="140"/>
      <c r="AB6" s="313"/>
      <c r="AC6" s="364"/>
      <c r="AD6" s="313"/>
      <c r="AE6" s="364"/>
      <c r="AF6" s="421"/>
      <c r="AG6" s="422"/>
      <c r="AJ6" s="183" t="s">
        <v>23</v>
      </c>
      <c r="AK6" s="183"/>
    </row>
    <row r="7" spans="1:70">
      <c r="A7" s="344" t="s">
        <v>24</v>
      </c>
      <c r="B7" s="377"/>
      <c r="C7" s="377"/>
      <c r="D7" s="377"/>
      <c r="E7" s="377"/>
      <c r="F7" s="338"/>
      <c r="G7" s="338"/>
      <c r="H7" s="338"/>
      <c r="I7" s="338"/>
      <c r="J7" s="338"/>
      <c r="K7" s="338"/>
      <c r="L7" s="338"/>
      <c r="M7" s="141" t="s">
        <v>25</v>
      </c>
      <c r="AF7" s="167"/>
      <c r="AG7" s="173" t="s">
        <v>26</v>
      </c>
      <c r="AL7" s="5" t="s">
        <v>27</v>
      </c>
    </row>
    <row r="8" spans="1:70" ht="24.95" customHeight="1">
      <c r="A8" s="391" t="s">
        <v>28</v>
      </c>
      <c r="B8" s="344" t="s">
        <v>29</v>
      </c>
      <c r="C8" s="344"/>
      <c r="D8" s="344"/>
      <c r="E8" s="344"/>
      <c r="F8" s="379"/>
      <c r="G8" s="380"/>
      <c r="H8" s="380"/>
      <c r="I8" s="380"/>
      <c r="J8" s="380"/>
      <c r="K8" s="380"/>
      <c r="L8" s="381"/>
      <c r="M8" s="344" t="s">
        <v>30</v>
      </c>
      <c r="N8" s="344"/>
      <c r="O8" s="344"/>
      <c r="P8" s="344"/>
      <c r="Q8" s="333"/>
      <c r="R8" s="338"/>
      <c r="S8" s="338"/>
      <c r="T8" s="338"/>
      <c r="U8" s="338"/>
      <c r="V8" s="338"/>
      <c r="W8" s="338"/>
      <c r="X8" s="344" t="s">
        <v>31</v>
      </c>
      <c r="Y8" s="344"/>
      <c r="Z8" s="344"/>
      <c r="AA8" s="386"/>
      <c r="AB8" s="386"/>
      <c r="AC8" s="386"/>
      <c r="AD8" s="386"/>
      <c r="AE8" s="386"/>
      <c r="AF8" s="386"/>
      <c r="AG8" s="386"/>
    </row>
    <row r="9" spans="1:70" ht="24.95" customHeight="1">
      <c r="A9" s="392"/>
      <c r="B9" s="378" t="s">
        <v>32</v>
      </c>
      <c r="C9" s="378"/>
      <c r="D9" s="378"/>
      <c r="E9" s="378"/>
      <c r="F9" s="386"/>
      <c r="G9" s="386"/>
      <c r="H9" s="386"/>
      <c r="I9" s="386"/>
      <c r="J9" s="386"/>
      <c r="K9" s="386"/>
      <c r="L9" s="386"/>
      <c r="M9" s="387"/>
      <c r="N9" s="387"/>
      <c r="O9" s="387"/>
      <c r="P9" s="387"/>
      <c r="Q9" s="386"/>
      <c r="R9" s="386"/>
      <c r="S9" s="386"/>
      <c r="T9" s="386"/>
      <c r="U9" s="386"/>
      <c r="V9" s="386"/>
      <c r="W9" s="386"/>
      <c r="X9" s="344" t="s">
        <v>33</v>
      </c>
      <c r="Y9" s="344"/>
      <c r="Z9" s="344"/>
      <c r="AA9" s="382"/>
      <c r="AB9" s="386"/>
      <c r="AC9" s="386"/>
      <c r="AD9" s="386"/>
      <c r="AE9" s="386"/>
      <c r="AF9" s="386"/>
      <c r="AG9" s="386"/>
      <c r="AJ9" s="179" t="s">
        <v>34</v>
      </c>
      <c r="AK9" s="180"/>
      <c r="AL9" s="180"/>
      <c r="AM9" s="180"/>
      <c r="AN9" s="180"/>
      <c r="AO9" s="180"/>
      <c r="AP9" s="180"/>
      <c r="AQ9" s="180"/>
      <c r="AR9" s="180"/>
      <c r="AS9" s="180"/>
      <c r="AT9" s="180"/>
      <c r="AU9" s="180"/>
      <c r="AV9" s="180"/>
      <c r="AW9" s="180"/>
      <c r="AX9" s="180"/>
      <c r="AY9" s="180"/>
      <c r="AZ9" s="180"/>
      <c r="BA9" s="180"/>
      <c r="BB9" s="180"/>
      <c r="BC9" s="180"/>
      <c r="BD9" s="180"/>
      <c r="BE9" s="180"/>
      <c r="BF9" s="180"/>
      <c r="BG9" s="180"/>
      <c r="BH9" s="180"/>
      <c r="BI9" s="180"/>
      <c r="BJ9" s="180"/>
      <c r="BK9" s="180"/>
      <c r="BL9" s="180"/>
      <c r="BM9" s="180"/>
      <c r="BN9" s="180"/>
      <c r="BO9" s="180"/>
      <c r="BP9" s="180"/>
      <c r="BQ9" s="180"/>
      <c r="BR9" s="180"/>
    </row>
    <row r="10" spans="1:70" ht="18.75" customHeight="1">
      <c r="A10" s="392"/>
      <c r="B10" s="344" t="s">
        <v>35</v>
      </c>
      <c r="C10" s="344"/>
      <c r="D10" s="344"/>
      <c r="E10" s="344"/>
      <c r="F10" s="342" t="str">
        <f>PHONETIC(F11)</f>
        <v/>
      </c>
      <c r="G10" s="342"/>
      <c r="H10" s="342"/>
      <c r="I10" s="342"/>
      <c r="J10" s="342"/>
      <c r="K10" s="342"/>
      <c r="L10" s="342"/>
      <c r="M10" s="342"/>
      <c r="N10" s="342"/>
      <c r="O10" s="342"/>
      <c r="P10" s="342"/>
      <c r="Q10" s="342"/>
      <c r="R10" s="342"/>
      <c r="S10" s="342"/>
      <c r="T10" s="342"/>
      <c r="U10" s="342"/>
      <c r="V10" s="400" t="s">
        <v>36</v>
      </c>
      <c r="W10" s="401"/>
      <c r="X10" s="344" t="s">
        <v>37</v>
      </c>
      <c r="Y10" s="344"/>
      <c r="Z10" s="344"/>
      <c r="AA10" s="382"/>
      <c r="AB10" s="383"/>
      <c r="AC10" s="383"/>
      <c r="AD10" s="383"/>
      <c r="AE10" s="383"/>
      <c r="AF10" s="383"/>
      <c r="AG10" s="383"/>
      <c r="AJ10" s="180"/>
      <c r="AK10" s="182" t="s">
        <v>38</v>
      </c>
      <c r="AL10" s="180"/>
      <c r="AM10" s="180"/>
      <c r="AN10" s="180"/>
      <c r="AO10" s="180"/>
      <c r="AP10" s="180"/>
      <c r="AQ10" s="180"/>
      <c r="AR10" s="180"/>
      <c r="AS10" s="180"/>
      <c r="AT10" s="180"/>
      <c r="AU10" s="180"/>
      <c r="AV10" s="180"/>
      <c r="AW10" s="180"/>
      <c r="AX10" s="180"/>
      <c r="AY10" s="180"/>
      <c r="AZ10" s="180"/>
      <c r="BA10" s="180"/>
      <c r="BB10" s="180"/>
      <c r="BC10" s="180"/>
      <c r="BD10" s="180"/>
      <c r="BE10" s="180"/>
      <c r="BF10" s="180"/>
      <c r="BG10" s="180"/>
      <c r="BH10" s="180"/>
      <c r="BI10" s="180"/>
      <c r="BJ10" s="180"/>
      <c r="BK10" s="180"/>
      <c r="BL10" s="180"/>
      <c r="BM10" s="180"/>
      <c r="BN10" s="180"/>
      <c r="BO10" s="180"/>
      <c r="BP10" s="180"/>
      <c r="BQ10" s="180"/>
      <c r="BR10" s="180"/>
    </row>
    <row r="11" spans="1:70" ht="38.25" customHeight="1">
      <c r="A11" s="392"/>
      <c r="B11" s="404" t="s">
        <v>39</v>
      </c>
      <c r="C11" s="405"/>
      <c r="D11" s="405"/>
      <c r="E11" s="406"/>
      <c r="F11" s="394"/>
      <c r="G11" s="395"/>
      <c r="H11" s="395"/>
      <c r="I11" s="395"/>
      <c r="J11" s="395"/>
      <c r="K11" s="395"/>
      <c r="L11" s="395"/>
      <c r="M11" s="395"/>
      <c r="N11" s="395"/>
      <c r="O11" s="395"/>
      <c r="P11" s="395"/>
      <c r="Q11" s="395"/>
      <c r="R11" s="395"/>
      <c r="S11" s="395"/>
      <c r="T11" s="395"/>
      <c r="U11" s="396"/>
      <c r="V11" s="402"/>
      <c r="W11" s="403"/>
      <c r="X11" s="397" t="s">
        <v>40</v>
      </c>
      <c r="Y11" s="398"/>
      <c r="Z11" s="399"/>
      <c r="AA11" s="384"/>
      <c r="AB11" s="385"/>
      <c r="AC11" s="385"/>
      <c r="AD11" s="385"/>
      <c r="AE11" s="385"/>
      <c r="AF11" s="385"/>
      <c r="AG11" s="385"/>
      <c r="AJ11" s="180"/>
      <c r="AK11" s="180" t="s">
        <v>41</v>
      </c>
      <c r="AL11" s="180"/>
      <c r="AM11" s="180"/>
      <c r="AN11" s="180"/>
      <c r="AO11" s="180"/>
      <c r="AP11" s="180"/>
      <c r="AQ11" s="180"/>
      <c r="AR11" s="180"/>
      <c r="AS11" s="180"/>
      <c r="AT11" s="180"/>
      <c r="AU11" s="180"/>
      <c r="AV11" s="180"/>
      <c r="AW11" s="180"/>
      <c r="AX11" s="180"/>
      <c r="AY11" s="180"/>
      <c r="AZ11" s="180"/>
      <c r="BA11" s="180"/>
      <c r="BB11" s="180"/>
      <c r="BC11" s="180"/>
      <c r="BD11" s="180"/>
      <c r="BE11" s="180"/>
      <c r="BF11" s="180"/>
      <c r="BG11" s="180"/>
      <c r="BH11" s="180"/>
      <c r="BI11" s="180"/>
      <c r="BJ11" s="180"/>
      <c r="BK11" s="180"/>
      <c r="BL11" s="180"/>
      <c r="BM11" s="180"/>
      <c r="BN11" s="180"/>
      <c r="BO11" s="180"/>
      <c r="BP11" s="180"/>
      <c r="BQ11" s="180"/>
      <c r="BR11" s="180"/>
    </row>
    <row r="12" spans="1:70" ht="13.5" hidden="1" customHeight="1">
      <c r="A12" s="392"/>
      <c r="B12" s="388" t="s">
        <v>42</v>
      </c>
      <c r="C12" s="388"/>
      <c r="D12" s="388"/>
      <c r="E12" s="388"/>
      <c r="F12" s="388"/>
      <c r="G12" s="388"/>
      <c r="H12" s="388"/>
      <c r="I12" s="388"/>
      <c r="J12" s="388"/>
      <c r="K12" s="388"/>
      <c r="L12" s="388"/>
      <c r="M12" s="388"/>
      <c r="N12" s="388"/>
      <c r="O12" s="388"/>
      <c r="P12" s="388"/>
      <c r="Q12" s="388"/>
      <c r="R12" s="388"/>
      <c r="S12" s="388"/>
      <c r="T12" s="388"/>
      <c r="U12" s="388"/>
      <c r="V12" s="388"/>
      <c r="W12" s="388"/>
      <c r="X12" s="389"/>
      <c r="Y12" s="389"/>
      <c r="Z12" s="389"/>
      <c r="AA12" s="388"/>
      <c r="AB12" s="388"/>
      <c r="AC12" s="388"/>
      <c r="AD12" s="388"/>
      <c r="AE12" s="388"/>
      <c r="AF12" s="388"/>
      <c r="AG12" s="388"/>
    </row>
    <row r="13" spans="1:70" ht="23.1" customHeight="1">
      <c r="A13" s="393"/>
      <c r="B13" s="344" t="s">
        <v>43</v>
      </c>
      <c r="C13" s="344"/>
      <c r="D13" s="344"/>
      <c r="E13" s="344"/>
      <c r="F13" s="338"/>
      <c r="G13" s="338"/>
      <c r="H13" s="338"/>
      <c r="I13" s="338"/>
      <c r="J13" s="338"/>
      <c r="K13" s="338"/>
      <c r="L13" s="338"/>
      <c r="M13" s="390" t="s">
        <v>44</v>
      </c>
      <c r="N13" s="390"/>
      <c r="O13" s="390"/>
      <c r="P13" s="390"/>
      <c r="Q13" s="338"/>
      <c r="R13" s="331"/>
      <c r="S13" s="133" t="s">
        <v>4</v>
      </c>
      <c r="T13" s="133"/>
      <c r="U13" s="133" t="s">
        <v>5</v>
      </c>
      <c r="V13" s="133"/>
      <c r="W13" s="134" t="s">
        <v>45</v>
      </c>
      <c r="X13" s="344" t="s">
        <v>46</v>
      </c>
      <c r="Y13" s="344"/>
      <c r="Z13" s="344"/>
      <c r="AA13" s="386"/>
      <c r="AB13" s="386"/>
      <c r="AC13" s="386"/>
      <c r="AD13" s="386"/>
      <c r="AE13" s="386"/>
      <c r="AF13" s="386"/>
      <c r="AG13" s="386"/>
      <c r="AJ13" s="5" t="s">
        <v>47</v>
      </c>
    </row>
    <row r="14" spans="1:70" ht="2.4500000000000002" customHeight="1">
      <c r="A14" s="135"/>
      <c r="B14" s="135"/>
      <c r="C14" s="135"/>
      <c r="D14" s="135"/>
      <c r="E14" s="135"/>
      <c r="F14" s="135"/>
      <c r="G14" s="135"/>
      <c r="H14" s="135"/>
      <c r="I14" s="135"/>
      <c r="J14" s="135"/>
      <c r="K14" s="135"/>
      <c r="L14" s="135"/>
      <c r="M14" s="135"/>
      <c r="N14" s="135"/>
      <c r="O14" s="135"/>
      <c r="P14" s="135"/>
      <c r="Q14" s="135"/>
      <c r="R14" s="135"/>
      <c r="T14" s="125"/>
      <c r="X14" s="135"/>
      <c r="Y14" s="135"/>
      <c r="Z14" s="135"/>
      <c r="AA14" s="135"/>
      <c r="AB14" s="135"/>
      <c r="AC14" s="135"/>
      <c r="AD14" s="135"/>
      <c r="AE14" s="135"/>
      <c r="AF14" s="135"/>
      <c r="AG14" s="135"/>
      <c r="AH14" s="135"/>
      <c r="AJ14" s="135"/>
      <c r="AK14" s="135"/>
    </row>
    <row r="15" spans="1:70" ht="18.95" customHeight="1">
      <c r="A15" s="315" t="s">
        <v>48</v>
      </c>
      <c r="B15" s="344" t="s">
        <v>35</v>
      </c>
      <c r="C15" s="344"/>
      <c r="D15" s="344"/>
      <c r="E15" s="344"/>
      <c r="F15" s="342" t="s">
        <v>49</v>
      </c>
      <c r="G15" s="342"/>
      <c r="H15" s="342"/>
      <c r="I15" s="342"/>
      <c r="J15" s="342"/>
      <c r="K15" s="342"/>
      <c r="L15" s="342"/>
      <c r="M15" s="342"/>
      <c r="N15" s="342"/>
      <c r="O15" s="342"/>
      <c r="P15" s="342"/>
      <c r="Q15" s="342"/>
      <c r="R15" s="342"/>
      <c r="S15" s="342"/>
      <c r="T15" s="342"/>
      <c r="U15" s="342"/>
      <c r="V15" s="342"/>
      <c r="W15" s="343"/>
      <c r="X15" s="418" t="s">
        <v>50</v>
      </c>
      <c r="Y15" s="418"/>
      <c r="Z15" s="418"/>
      <c r="AA15" s="333"/>
      <c r="AB15" s="338"/>
      <c r="AC15" s="338"/>
      <c r="AD15" s="338"/>
      <c r="AE15" s="338"/>
      <c r="AF15" s="338"/>
      <c r="AG15" s="338"/>
      <c r="AL15" s="187" t="s">
        <v>51</v>
      </c>
      <c r="AM15" s="186"/>
      <c r="AN15" s="186"/>
      <c r="AO15" s="187"/>
      <c r="AP15" s="187"/>
      <c r="AQ15" s="187"/>
      <c r="AR15" s="187"/>
      <c r="AS15" s="187"/>
      <c r="AT15" s="187"/>
      <c r="AU15" s="187"/>
      <c r="AV15" s="187"/>
      <c r="AW15" s="187"/>
      <c r="AX15" s="187"/>
      <c r="AY15" s="187"/>
      <c r="AZ15" s="187"/>
      <c r="BA15" s="187"/>
      <c r="BB15" s="187"/>
      <c r="BC15" s="187"/>
      <c r="BD15" s="187"/>
      <c r="BE15" s="186"/>
    </row>
    <row r="16" spans="1:70" ht="27" customHeight="1" thickBot="1">
      <c r="A16" s="315"/>
      <c r="B16" s="344" t="s">
        <v>39</v>
      </c>
      <c r="C16" s="344"/>
      <c r="D16" s="344"/>
      <c r="E16" s="344"/>
      <c r="F16" s="342"/>
      <c r="G16" s="342"/>
      <c r="H16" s="342"/>
      <c r="I16" s="342"/>
      <c r="J16" s="342"/>
      <c r="K16" s="342"/>
      <c r="L16" s="342"/>
      <c r="M16" s="342"/>
      <c r="N16" s="342"/>
      <c r="O16" s="342"/>
      <c r="P16" s="342"/>
      <c r="Q16" s="342"/>
      <c r="R16" s="342"/>
      <c r="S16" s="342"/>
      <c r="T16" s="342"/>
      <c r="U16" s="342"/>
      <c r="V16" s="342"/>
      <c r="W16" s="342"/>
      <c r="X16" s="323" t="str">
        <f>IF(AQ17="","宗教は弔事報告書枠外に記入⇒","")</f>
        <v>宗教は弔事報告書枠外に記入⇒</v>
      </c>
      <c r="Y16" s="324"/>
      <c r="Z16" s="324"/>
      <c r="AA16" s="324"/>
      <c r="AB16" s="324"/>
      <c r="AC16" s="324"/>
      <c r="AD16" s="324"/>
      <c r="AE16" s="324"/>
      <c r="AF16" s="324"/>
      <c r="AG16" s="325"/>
      <c r="AL16" s="186"/>
      <c r="AM16" s="186"/>
      <c r="AN16" s="329" t="s">
        <v>52</v>
      </c>
      <c r="AO16" s="329"/>
      <c r="AP16" s="329"/>
      <c r="AQ16" s="329"/>
      <c r="AR16" s="329"/>
      <c r="AS16" s="329"/>
      <c r="AT16" s="329"/>
      <c r="AU16" s="329"/>
      <c r="AV16" s="329"/>
      <c r="AW16" s="329"/>
      <c r="AX16" s="329"/>
      <c r="AY16" s="329"/>
      <c r="AZ16" s="329"/>
      <c r="BA16" s="329"/>
      <c r="BB16" s="329"/>
      <c r="BC16" s="329"/>
      <c r="BD16" s="329"/>
      <c r="BE16" s="329"/>
    </row>
    <row r="17" spans="1:70" ht="18" customHeight="1" thickTop="1">
      <c r="A17" s="315"/>
      <c r="B17" s="344" t="s">
        <v>53</v>
      </c>
      <c r="C17" s="344"/>
      <c r="D17" s="344"/>
      <c r="E17" s="344"/>
      <c r="F17" s="163"/>
      <c r="G17" s="169" t="s">
        <v>5</v>
      </c>
      <c r="H17" s="164"/>
      <c r="I17" s="169" t="s">
        <v>6</v>
      </c>
      <c r="J17" s="169" t="s">
        <v>54</v>
      </c>
      <c r="K17" s="165"/>
      <c r="L17" s="169" t="s">
        <v>55</v>
      </c>
      <c r="M17" s="165"/>
      <c r="N17" s="169" t="s">
        <v>56</v>
      </c>
      <c r="O17" s="166"/>
      <c r="P17" s="333" t="s">
        <v>57</v>
      </c>
      <c r="Q17" s="331"/>
      <c r="R17" s="169"/>
      <c r="S17" s="169"/>
      <c r="T17" s="169"/>
      <c r="U17" s="169"/>
      <c r="V17" s="169"/>
      <c r="W17" s="137"/>
      <c r="X17" s="326"/>
      <c r="Y17" s="327"/>
      <c r="Z17" s="327"/>
      <c r="AA17" s="327"/>
      <c r="AB17" s="327"/>
      <c r="AC17" s="327"/>
      <c r="AD17" s="327"/>
      <c r="AE17" s="327"/>
      <c r="AF17" s="327"/>
      <c r="AG17" s="328"/>
      <c r="AL17" s="186"/>
      <c r="AM17" s="186"/>
      <c r="AN17" s="307" t="s">
        <v>58</v>
      </c>
      <c r="AO17" s="308"/>
      <c r="AP17" s="308"/>
      <c r="AQ17" s="311"/>
      <c r="AR17" s="308"/>
      <c r="AS17" s="308"/>
      <c r="AT17" s="308"/>
      <c r="AU17" s="308"/>
      <c r="AV17" s="308"/>
      <c r="AW17" s="312"/>
      <c r="AX17" s="186"/>
      <c r="AY17" s="186"/>
      <c r="AZ17" s="186"/>
      <c r="BA17" s="186"/>
      <c r="BB17" s="186"/>
      <c r="BC17" s="186"/>
      <c r="BD17" s="186"/>
      <c r="BE17" s="186"/>
    </row>
    <row r="18" spans="1:70" ht="2.4500000000000002" customHeight="1">
      <c r="L18" s="135"/>
      <c r="AL18" s="186"/>
      <c r="AM18" s="186"/>
      <c r="AN18" s="309"/>
      <c r="AO18" s="310"/>
      <c r="AP18" s="310"/>
      <c r="AQ18" s="313"/>
      <c r="AR18" s="310"/>
      <c r="AS18" s="310"/>
      <c r="AT18" s="310"/>
      <c r="AU18" s="310"/>
      <c r="AV18" s="310"/>
      <c r="AW18" s="314"/>
      <c r="AX18" s="186"/>
      <c r="AY18" s="186"/>
      <c r="AZ18" s="186"/>
      <c r="BA18" s="186"/>
      <c r="BB18" s="186"/>
      <c r="BC18" s="186"/>
      <c r="BD18" s="186"/>
      <c r="BE18" s="186"/>
    </row>
    <row r="19" spans="1:70" ht="20.100000000000001" customHeight="1" thickBot="1">
      <c r="A19" s="315" t="s">
        <v>59</v>
      </c>
      <c r="B19" s="348" t="s">
        <v>60</v>
      </c>
      <c r="C19" s="348"/>
      <c r="D19" s="336" t="s">
        <v>61</v>
      </c>
      <c r="E19" s="336"/>
      <c r="F19" s="136"/>
      <c r="G19" s="169" t="s">
        <v>5</v>
      </c>
      <c r="H19" s="133"/>
      <c r="I19" s="169" t="s">
        <v>45</v>
      </c>
      <c r="J19" s="169" t="s">
        <v>54</v>
      </c>
      <c r="K19" s="169"/>
      <c r="L19" s="169" t="s">
        <v>55</v>
      </c>
      <c r="M19" s="165"/>
      <c r="N19" s="169" t="s">
        <v>56</v>
      </c>
      <c r="O19" s="169"/>
      <c r="P19" s="333"/>
      <c r="Q19" s="331"/>
      <c r="R19" s="169"/>
      <c r="S19" s="169"/>
      <c r="T19" s="169"/>
      <c r="U19" s="169"/>
      <c r="V19" s="169"/>
      <c r="W19" s="137"/>
      <c r="X19" s="336" t="s">
        <v>62</v>
      </c>
      <c r="Y19" s="336"/>
      <c r="Z19" s="336"/>
      <c r="AA19" s="331"/>
      <c r="AB19" s="332"/>
      <c r="AC19" s="332"/>
      <c r="AD19" s="332"/>
      <c r="AE19" s="332"/>
      <c r="AF19" s="332"/>
      <c r="AG19" s="333"/>
      <c r="AL19" s="186"/>
      <c r="AM19" s="186"/>
      <c r="AN19" s="319" t="s">
        <v>63</v>
      </c>
      <c r="AO19" s="320"/>
      <c r="AP19" s="320"/>
      <c r="AQ19" s="321"/>
      <c r="AR19" s="321"/>
      <c r="AS19" s="321"/>
      <c r="AT19" s="321"/>
      <c r="AU19" s="321"/>
      <c r="AV19" s="321"/>
      <c r="AW19" s="322"/>
      <c r="AX19" s="186"/>
      <c r="AY19" s="186"/>
      <c r="AZ19" s="186"/>
      <c r="BA19" s="186"/>
      <c r="BB19" s="186"/>
      <c r="BC19" s="186"/>
      <c r="BD19" s="186"/>
      <c r="BE19" s="186"/>
    </row>
    <row r="20" spans="1:70" ht="21.6" customHeight="1" thickTop="1">
      <c r="A20" s="316"/>
      <c r="B20" s="348"/>
      <c r="C20" s="348"/>
      <c r="D20" s="336" t="s">
        <v>64</v>
      </c>
      <c r="E20" s="336"/>
      <c r="F20" s="318"/>
      <c r="G20" s="318"/>
      <c r="H20" s="330"/>
      <c r="I20" s="169" t="s">
        <v>65</v>
      </c>
      <c r="J20" s="317"/>
      <c r="K20" s="318"/>
      <c r="L20" s="318"/>
      <c r="M20" s="336" t="s">
        <v>66</v>
      </c>
      <c r="N20" s="336"/>
      <c r="O20" s="336"/>
      <c r="P20" s="336"/>
      <c r="Q20" s="345"/>
      <c r="R20" s="330"/>
      <c r="S20" s="169" t="s">
        <v>65</v>
      </c>
      <c r="T20" s="317"/>
      <c r="U20" s="330"/>
      <c r="V20" s="169" t="s">
        <v>65</v>
      </c>
      <c r="W20" s="171"/>
      <c r="X20" s="335" t="s">
        <v>67</v>
      </c>
      <c r="Y20" s="336"/>
      <c r="Z20" s="336"/>
      <c r="AA20" s="338"/>
      <c r="AB20" s="338"/>
      <c r="AC20" s="338"/>
      <c r="AD20" s="338"/>
      <c r="AE20" s="338"/>
      <c r="AF20" s="338"/>
      <c r="AG20" s="338"/>
      <c r="AL20" s="186"/>
      <c r="AM20" s="186"/>
      <c r="AN20" s="186" t="s">
        <v>68</v>
      </c>
      <c r="AO20" s="186"/>
      <c r="AP20" s="186"/>
      <c r="AQ20" s="186"/>
      <c r="AR20" s="186"/>
      <c r="AS20" s="186"/>
      <c r="AT20" s="186"/>
      <c r="AU20" s="186"/>
      <c r="AV20" s="186"/>
      <c r="AW20" s="186"/>
      <c r="AX20" s="186"/>
      <c r="AY20" s="186"/>
      <c r="AZ20" s="186"/>
      <c r="BA20" s="186"/>
      <c r="BB20" s="186"/>
      <c r="BC20" s="186"/>
      <c r="BD20" s="186"/>
      <c r="BE20" s="186"/>
    </row>
    <row r="21" spans="1:70" ht="21.6" customHeight="1">
      <c r="A21" s="316"/>
      <c r="B21" s="348"/>
      <c r="C21" s="348"/>
      <c r="D21" s="336" t="s">
        <v>69</v>
      </c>
      <c r="E21" s="336"/>
      <c r="F21" s="626" t="str">
        <f>PHONETIC(F22)</f>
        <v/>
      </c>
      <c r="G21" s="626"/>
      <c r="H21" s="626"/>
      <c r="I21" s="626"/>
      <c r="J21" s="626"/>
      <c r="K21" s="626"/>
      <c r="L21" s="626"/>
      <c r="M21" s="626"/>
      <c r="N21" s="626"/>
      <c r="O21" s="626"/>
      <c r="P21" s="626"/>
      <c r="Q21" s="626"/>
      <c r="R21" s="626"/>
      <c r="S21" s="626"/>
      <c r="T21" s="626"/>
      <c r="U21" s="626"/>
      <c r="V21" s="626"/>
      <c r="W21" s="626"/>
      <c r="X21" s="335" t="s">
        <v>70</v>
      </c>
      <c r="Y21" s="336"/>
      <c r="Z21" s="336"/>
      <c r="AA21" s="298"/>
      <c r="AB21" s="299"/>
      <c r="AC21" s="299"/>
      <c r="AD21" s="299"/>
      <c r="AE21" s="299"/>
      <c r="AF21" s="299"/>
      <c r="AG21" s="300"/>
    </row>
    <row r="22" spans="1:70" ht="21.6" customHeight="1">
      <c r="A22" s="316"/>
      <c r="B22" s="348"/>
      <c r="C22" s="348"/>
      <c r="D22" s="336" t="s">
        <v>71</v>
      </c>
      <c r="E22" s="336"/>
      <c r="F22" s="627"/>
      <c r="G22" s="628"/>
      <c r="H22" s="628"/>
      <c r="I22" s="628"/>
      <c r="J22" s="628"/>
      <c r="K22" s="628"/>
      <c r="L22" s="628"/>
      <c r="M22" s="628"/>
      <c r="N22" s="628"/>
      <c r="O22" s="628"/>
      <c r="P22" s="628"/>
      <c r="Q22" s="628"/>
      <c r="R22" s="628"/>
      <c r="S22" s="628"/>
      <c r="T22" s="628"/>
      <c r="U22" s="628"/>
      <c r="V22" s="628"/>
      <c r="W22" s="629"/>
      <c r="X22" s="336"/>
      <c r="Y22" s="336"/>
      <c r="Z22" s="336"/>
      <c r="AA22" s="301"/>
      <c r="AB22" s="302"/>
      <c r="AC22" s="302"/>
      <c r="AD22" s="302"/>
      <c r="AE22" s="302"/>
      <c r="AF22" s="302"/>
      <c r="AG22" s="303"/>
    </row>
    <row r="23" spans="1:70" ht="21.6" customHeight="1">
      <c r="A23" s="316"/>
      <c r="B23" s="348"/>
      <c r="C23" s="348"/>
      <c r="D23" s="336" t="s">
        <v>72</v>
      </c>
      <c r="E23" s="336"/>
      <c r="F23" s="626"/>
      <c r="G23" s="626"/>
      <c r="H23" s="626"/>
      <c r="I23" s="626"/>
      <c r="J23" s="626"/>
      <c r="K23" s="626"/>
      <c r="L23" s="626"/>
      <c r="M23" s="626"/>
      <c r="N23" s="626"/>
      <c r="O23" s="626"/>
      <c r="P23" s="626"/>
      <c r="Q23" s="626"/>
      <c r="R23" s="626"/>
      <c r="S23" s="626"/>
      <c r="T23" s="626"/>
      <c r="U23" s="626"/>
      <c r="V23" s="626"/>
      <c r="W23" s="626"/>
      <c r="X23" s="336"/>
      <c r="Y23" s="336"/>
      <c r="Z23" s="336"/>
      <c r="AA23" s="304"/>
      <c r="AB23" s="305"/>
      <c r="AC23" s="305"/>
      <c r="AD23" s="305"/>
      <c r="AE23" s="305"/>
      <c r="AF23" s="305"/>
      <c r="AG23" s="306"/>
    </row>
    <row r="24" spans="1:70" ht="21.6" customHeight="1">
      <c r="A24" s="316"/>
      <c r="B24" s="487" t="s">
        <v>73</v>
      </c>
      <c r="C24" s="487"/>
      <c r="D24" s="336" t="s">
        <v>61</v>
      </c>
      <c r="E24" s="336"/>
      <c r="F24" s="170"/>
      <c r="G24" s="169" t="s">
        <v>5</v>
      </c>
      <c r="H24" s="169"/>
      <c r="I24" s="169" t="s">
        <v>6</v>
      </c>
      <c r="J24" s="169" t="s">
        <v>54</v>
      </c>
      <c r="K24" s="169"/>
      <c r="L24" s="169" t="s">
        <v>55</v>
      </c>
      <c r="M24" s="169"/>
      <c r="N24" s="169" t="s">
        <v>56</v>
      </c>
      <c r="O24" s="169"/>
      <c r="P24" s="137" t="s">
        <v>74</v>
      </c>
      <c r="Q24" s="170"/>
      <c r="R24" s="169"/>
      <c r="S24" s="169"/>
      <c r="T24" s="169"/>
      <c r="U24" s="169"/>
      <c r="V24" s="169"/>
      <c r="W24" s="169"/>
      <c r="X24" s="133"/>
      <c r="Y24" s="133"/>
      <c r="Z24" s="133"/>
      <c r="AA24" s="133"/>
      <c r="AB24" s="133"/>
      <c r="AC24" s="133"/>
      <c r="AD24" s="133"/>
      <c r="AE24" s="133"/>
      <c r="AF24" s="133"/>
      <c r="AG24" s="134"/>
    </row>
    <row r="25" spans="1:70" ht="21.6" customHeight="1">
      <c r="A25" s="316"/>
      <c r="B25" s="487"/>
      <c r="C25" s="487"/>
      <c r="D25" s="336" t="s">
        <v>75</v>
      </c>
      <c r="E25" s="336"/>
      <c r="F25" s="244"/>
      <c r="G25" s="175" t="s">
        <v>5</v>
      </c>
      <c r="H25" s="175"/>
      <c r="I25" s="175" t="s">
        <v>6</v>
      </c>
      <c r="J25" s="175" t="s">
        <v>54</v>
      </c>
      <c r="K25" s="175"/>
      <c r="L25" s="175" t="s">
        <v>55</v>
      </c>
      <c r="M25" s="175"/>
      <c r="N25" s="175" t="s">
        <v>56</v>
      </c>
      <c r="O25" s="175"/>
      <c r="P25" s="175" t="s">
        <v>74</v>
      </c>
      <c r="Q25" s="175"/>
      <c r="R25" s="175" t="s">
        <v>56</v>
      </c>
      <c r="S25" s="175"/>
      <c r="T25" s="175"/>
      <c r="U25" s="175"/>
      <c r="V25" s="175"/>
      <c r="W25" s="245"/>
      <c r="X25" s="336" t="s">
        <v>76</v>
      </c>
      <c r="Y25" s="336"/>
      <c r="Z25" s="336"/>
      <c r="AA25" s="331"/>
      <c r="AB25" s="332"/>
      <c r="AC25" s="332"/>
      <c r="AD25" s="332"/>
      <c r="AE25" s="332"/>
      <c r="AF25" s="332"/>
      <c r="AG25" s="333"/>
    </row>
    <row r="26" spans="1:70" ht="21.6" customHeight="1">
      <c r="A26" s="316"/>
      <c r="B26" s="487"/>
      <c r="C26" s="487"/>
      <c r="D26" s="336" t="s">
        <v>64</v>
      </c>
      <c r="E26" s="336"/>
      <c r="F26" s="349"/>
      <c r="G26" s="349"/>
      <c r="H26" s="347"/>
      <c r="I26" s="175" t="s">
        <v>65</v>
      </c>
      <c r="J26" s="346"/>
      <c r="K26" s="349"/>
      <c r="L26" s="347"/>
      <c r="M26" s="486" t="s">
        <v>66</v>
      </c>
      <c r="N26" s="486"/>
      <c r="O26" s="486"/>
      <c r="P26" s="486"/>
      <c r="Q26" s="350"/>
      <c r="R26" s="347"/>
      <c r="S26" s="175" t="s">
        <v>77</v>
      </c>
      <c r="T26" s="346"/>
      <c r="U26" s="347"/>
      <c r="V26" s="175" t="s">
        <v>77</v>
      </c>
      <c r="W26" s="249"/>
      <c r="X26" s="335" t="s">
        <v>70</v>
      </c>
      <c r="Y26" s="336"/>
      <c r="Z26" s="336"/>
      <c r="AA26" s="298"/>
      <c r="AB26" s="299"/>
      <c r="AC26" s="299"/>
      <c r="AD26" s="299"/>
      <c r="AE26" s="299"/>
      <c r="AF26" s="299"/>
      <c r="AG26" s="300"/>
    </row>
    <row r="27" spans="1:70" ht="21.6" customHeight="1">
      <c r="A27" s="316"/>
      <c r="B27" s="487"/>
      <c r="C27" s="487"/>
      <c r="D27" s="336" t="s">
        <v>71</v>
      </c>
      <c r="E27" s="336"/>
      <c r="F27" s="630"/>
      <c r="G27" s="630"/>
      <c r="H27" s="630"/>
      <c r="I27" s="630"/>
      <c r="J27" s="630"/>
      <c r="K27" s="630"/>
      <c r="L27" s="630"/>
      <c r="M27" s="630"/>
      <c r="N27" s="630"/>
      <c r="O27" s="630"/>
      <c r="P27" s="630"/>
      <c r="Q27" s="630"/>
      <c r="R27" s="630"/>
      <c r="S27" s="630"/>
      <c r="T27" s="630"/>
      <c r="U27" s="630"/>
      <c r="V27" s="630"/>
      <c r="W27" s="630"/>
      <c r="X27" s="336"/>
      <c r="Y27" s="336"/>
      <c r="Z27" s="336"/>
      <c r="AA27" s="301"/>
      <c r="AB27" s="302"/>
      <c r="AC27" s="302"/>
      <c r="AD27" s="302"/>
      <c r="AE27" s="302"/>
      <c r="AF27" s="302"/>
      <c r="AG27" s="303"/>
    </row>
    <row r="28" spans="1:70" ht="21.6" customHeight="1">
      <c r="A28" s="316"/>
      <c r="B28" s="487"/>
      <c r="C28" s="487"/>
      <c r="D28" s="336" t="s">
        <v>72</v>
      </c>
      <c r="E28" s="336"/>
      <c r="F28" s="630"/>
      <c r="G28" s="630"/>
      <c r="H28" s="630"/>
      <c r="I28" s="630"/>
      <c r="J28" s="630"/>
      <c r="K28" s="630"/>
      <c r="L28" s="630"/>
      <c r="M28" s="630"/>
      <c r="N28" s="630"/>
      <c r="O28" s="630"/>
      <c r="P28" s="630"/>
      <c r="Q28" s="630"/>
      <c r="R28" s="630"/>
      <c r="S28" s="630"/>
      <c r="T28" s="630"/>
      <c r="U28" s="630"/>
      <c r="V28" s="630"/>
      <c r="W28" s="630"/>
      <c r="X28" s="336"/>
      <c r="Y28" s="336"/>
      <c r="Z28" s="336"/>
      <c r="AA28" s="304"/>
      <c r="AB28" s="305"/>
      <c r="AC28" s="305"/>
      <c r="AD28" s="305"/>
      <c r="AE28" s="305"/>
      <c r="AF28" s="305"/>
      <c r="AG28" s="306"/>
    </row>
    <row r="29" spans="1:70" ht="21.6" customHeight="1">
      <c r="A29" s="316"/>
      <c r="B29" s="475" t="s">
        <v>78</v>
      </c>
      <c r="C29" s="475"/>
      <c r="D29" s="336" t="s">
        <v>79</v>
      </c>
      <c r="E29" s="336"/>
      <c r="F29" s="476" t="str">
        <f>PHONETIC(F30)</f>
        <v/>
      </c>
      <c r="G29" s="476"/>
      <c r="H29" s="476"/>
      <c r="I29" s="476"/>
      <c r="J29" s="476"/>
      <c r="K29" s="476"/>
      <c r="L29" s="476"/>
      <c r="M29" s="476"/>
      <c r="N29" s="476"/>
      <c r="O29" s="476"/>
      <c r="P29" s="476"/>
      <c r="Q29" s="476"/>
      <c r="R29" s="476"/>
      <c r="S29" s="476"/>
      <c r="T29" s="476"/>
      <c r="U29" s="476"/>
      <c r="V29" s="476"/>
      <c r="W29" s="476"/>
      <c r="X29" s="337" t="s">
        <v>80</v>
      </c>
      <c r="Y29" s="337"/>
      <c r="Z29" s="337"/>
      <c r="AA29" s="338"/>
      <c r="AB29" s="338"/>
      <c r="AC29" s="338"/>
      <c r="AD29" s="338"/>
      <c r="AE29" s="338"/>
      <c r="AF29" s="338"/>
      <c r="AG29" s="338"/>
      <c r="AH29" s="138"/>
      <c r="AI29" s="138"/>
    </row>
    <row r="30" spans="1:70" ht="21.6" customHeight="1">
      <c r="A30" s="316"/>
      <c r="B30" s="475"/>
      <c r="C30" s="475"/>
      <c r="D30" s="336" t="s">
        <v>81</v>
      </c>
      <c r="E30" s="336"/>
      <c r="F30" s="476"/>
      <c r="G30" s="476"/>
      <c r="H30" s="476"/>
      <c r="I30" s="476"/>
      <c r="J30" s="476"/>
      <c r="K30" s="476"/>
      <c r="L30" s="476"/>
      <c r="M30" s="476"/>
      <c r="N30" s="476"/>
      <c r="O30" s="476"/>
      <c r="P30" s="476"/>
      <c r="Q30" s="476"/>
      <c r="R30" s="476"/>
      <c r="S30" s="476"/>
      <c r="T30" s="476"/>
      <c r="U30" s="476"/>
      <c r="V30" s="476"/>
      <c r="W30" s="476"/>
      <c r="X30" s="337"/>
      <c r="Y30" s="337"/>
      <c r="Z30" s="337"/>
      <c r="AA30" s="338"/>
      <c r="AB30" s="338"/>
      <c r="AC30" s="338"/>
      <c r="AD30" s="338"/>
      <c r="AE30" s="338"/>
      <c r="AF30" s="338"/>
      <c r="AG30" s="338"/>
      <c r="AJ30" s="179" t="s">
        <v>82</v>
      </c>
      <c r="AK30" s="180"/>
      <c r="AL30" s="180"/>
      <c r="AM30" s="180"/>
      <c r="AN30" s="180"/>
      <c r="AO30" s="180"/>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80"/>
      <c r="BO30" s="180"/>
      <c r="BP30" s="180"/>
      <c r="BQ30" s="180"/>
      <c r="BR30" s="180"/>
    </row>
    <row r="31" spans="1:70" ht="24.95" customHeight="1">
      <c r="A31" s="316"/>
      <c r="B31" s="474" t="s">
        <v>83</v>
      </c>
      <c r="C31" s="474"/>
      <c r="D31" s="474"/>
      <c r="E31" s="474"/>
      <c r="F31" s="474"/>
      <c r="G31" s="474"/>
      <c r="H31" s="474"/>
      <c r="I31" s="474"/>
      <c r="J31" s="474"/>
      <c r="K31" s="474"/>
      <c r="L31" s="474"/>
      <c r="M31" s="334"/>
      <c r="N31" s="334"/>
      <c r="O31" s="334"/>
      <c r="P31" s="334"/>
      <c r="Q31" s="170" t="s">
        <v>54</v>
      </c>
      <c r="R31" s="317"/>
      <c r="S31" s="318"/>
      <c r="T31" s="318"/>
      <c r="U31" s="330"/>
      <c r="V31" s="169" t="s">
        <v>55</v>
      </c>
      <c r="W31" s="169" t="s">
        <v>65</v>
      </c>
      <c r="X31" s="317"/>
      <c r="Y31" s="318"/>
      <c r="Z31" s="318"/>
      <c r="AA31" s="330"/>
      <c r="AB31" s="169" t="s">
        <v>65</v>
      </c>
      <c r="AC31" s="317"/>
      <c r="AD31" s="318"/>
      <c r="AE31" s="318"/>
      <c r="AF31" s="318"/>
      <c r="AG31" s="318"/>
      <c r="AJ31" s="181" t="s">
        <v>84</v>
      </c>
      <c r="AK31" s="180"/>
      <c r="AL31" s="180"/>
      <c r="AM31" s="180"/>
      <c r="AN31" s="180"/>
      <c r="AO31" s="180"/>
      <c r="AP31" s="180"/>
      <c r="AQ31" s="180"/>
      <c r="AR31" s="180"/>
      <c r="AS31" s="180"/>
      <c r="AT31" s="180"/>
      <c r="AU31" s="180"/>
      <c r="AV31" s="180"/>
      <c r="AW31" s="180"/>
      <c r="AX31" s="180"/>
      <c r="AY31" s="180"/>
      <c r="AZ31" s="180"/>
      <c r="BA31" s="180"/>
      <c r="BB31" s="180"/>
      <c r="BC31" s="180"/>
      <c r="BD31" s="180"/>
      <c r="BE31" s="180"/>
      <c r="BF31" s="180"/>
      <c r="BG31" s="180"/>
      <c r="BH31" s="180"/>
      <c r="BI31" s="180"/>
      <c r="BJ31" s="180"/>
      <c r="BK31" s="180"/>
      <c r="BL31" s="180"/>
      <c r="BM31" s="180"/>
      <c r="BN31" s="180"/>
      <c r="BO31" s="180"/>
      <c r="BP31" s="180"/>
      <c r="BQ31" s="180"/>
      <c r="BR31" s="180"/>
    </row>
    <row r="32" spans="1:70" ht="2.4500000000000002" customHeight="1">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row>
    <row r="33" spans="1:70" ht="33.6" customHeight="1">
      <c r="A33" s="178" t="s">
        <v>85</v>
      </c>
      <c r="B33" s="472" t="s">
        <v>86</v>
      </c>
      <c r="C33" s="473"/>
      <c r="D33" s="473"/>
      <c r="E33" s="473"/>
      <c r="F33" s="338"/>
      <c r="G33" s="338"/>
      <c r="H33" s="338"/>
      <c r="I33" s="338"/>
      <c r="J33" s="338"/>
      <c r="K33" s="338"/>
      <c r="L33" s="338"/>
      <c r="M33" s="472" t="s">
        <v>87</v>
      </c>
      <c r="N33" s="473"/>
      <c r="O33" s="473"/>
      <c r="P33" s="473"/>
      <c r="Q33" s="338"/>
      <c r="R33" s="338"/>
      <c r="S33" s="338"/>
      <c r="T33" s="338"/>
      <c r="U33" s="338"/>
      <c r="V33" s="338"/>
      <c r="W33" s="338"/>
      <c r="X33" s="338"/>
      <c r="Y33" s="338"/>
      <c r="Z33" s="338"/>
      <c r="AA33" s="338"/>
      <c r="AB33" s="338"/>
      <c r="AC33" s="338"/>
      <c r="AD33" s="338"/>
      <c r="AE33" s="338"/>
      <c r="AF33" s="338"/>
      <c r="AG33" s="338"/>
      <c r="AJ33" s="179" t="s">
        <v>88</v>
      </c>
      <c r="AK33" s="180"/>
      <c r="AL33" s="180"/>
      <c r="AM33" s="180"/>
      <c r="AN33" s="180"/>
      <c r="AO33" s="180"/>
      <c r="AP33" s="180"/>
      <c r="AQ33" s="180"/>
      <c r="AR33" s="180"/>
      <c r="AS33" s="180"/>
      <c r="AT33" s="180"/>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row>
    <row r="34" spans="1:70" ht="2.4500000000000002" customHeight="1"/>
    <row r="35" spans="1:70" ht="33.6" customHeight="1">
      <c r="A35" s="177" t="s">
        <v>89</v>
      </c>
      <c r="B35" s="337" t="s">
        <v>90</v>
      </c>
      <c r="C35" s="488"/>
      <c r="D35" s="488"/>
      <c r="E35" s="488"/>
      <c r="F35" s="331"/>
      <c r="G35" s="333"/>
      <c r="H35" s="465" t="s">
        <v>39</v>
      </c>
      <c r="I35" s="466"/>
      <c r="J35" s="338"/>
      <c r="K35" s="338"/>
      <c r="L35" s="338"/>
      <c r="M35" s="338"/>
      <c r="N35" s="338"/>
      <c r="O35" s="338"/>
      <c r="P35" s="484" t="s">
        <v>91</v>
      </c>
      <c r="Q35" s="484"/>
      <c r="R35" s="338"/>
      <c r="S35" s="338"/>
      <c r="T35" s="338"/>
      <c r="U35" s="338"/>
      <c r="V35" s="338"/>
      <c r="W35" s="338"/>
      <c r="X35" s="336" t="s">
        <v>92</v>
      </c>
      <c r="Y35" s="336"/>
      <c r="Z35" s="336"/>
      <c r="AA35" s="334"/>
      <c r="AB35" s="334"/>
      <c r="AC35" s="334"/>
      <c r="AD35" s="334"/>
      <c r="AE35" s="334"/>
      <c r="AF35" s="334"/>
      <c r="AG35" s="334"/>
      <c r="AJ35" s="179" t="s">
        <v>93</v>
      </c>
      <c r="AK35" s="180"/>
      <c r="AL35" s="180"/>
      <c r="AM35" s="180"/>
      <c r="AN35" s="180"/>
      <c r="AO35" s="180"/>
      <c r="AP35" s="180"/>
      <c r="AQ35" s="180"/>
      <c r="AR35" s="180"/>
      <c r="AS35" s="180"/>
      <c r="AT35" s="180"/>
      <c r="AU35" s="180"/>
      <c r="AV35" s="180"/>
      <c r="AW35" s="180"/>
      <c r="AX35" s="180"/>
      <c r="AY35" s="180"/>
      <c r="AZ35" s="180"/>
      <c r="BA35" s="180"/>
      <c r="BB35" s="180"/>
      <c r="BC35" s="180"/>
      <c r="BD35" s="180"/>
      <c r="BE35" s="180"/>
      <c r="BF35" s="180"/>
      <c r="BG35" s="180"/>
      <c r="BH35" s="180"/>
      <c r="BI35" s="180"/>
      <c r="BJ35" s="180"/>
      <c r="BK35" s="180"/>
      <c r="BL35" s="180"/>
      <c r="BM35" s="180"/>
      <c r="BN35" s="180"/>
      <c r="BO35" s="180"/>
      <c r="BP35" s="180"/>
      <c r="BQ35" s="180"/>
      <c r="BR35" s="180"/>
    </row>
    <row r="36" spans="1:70" ht="4.5" customHeight="1">
      <c r="A36" s="167"/>
    </row>
    <row r="37" spans="1:70" ht="19.5" customHeight="1">
      <c r="A37" s="490" t="s">
        <v>94</v>
      </c>
      <c r="B37" s="467" t="s">
        <v>95</v>
      </c>
      <c r="C37" s="468"/>
      <c r="D37" s="468"/>
      <c r="E37" s="468"/>
      <c r="F37" s="468"/>
      <c r="G37" s="468"/>
      <c r="H37" s="468"/>
      <c r="I37" s="468"/>
      <c r="J37" s="468"/>
      <c r="K37" s="468"/>
      <c r="L37" s="469"/>
      <c r="M37" s="485" t="s">
        <v>96</v>
      </c>
      <c r="N37" s="485"/>
      <c r="O37" s="485"/>
      <c r="P37" s="420"/>
      <c r="Q37" s="338"/>
      <c r="R37" s="338"/>
      <c r="S37" s="338"/>
      <c r="T37" s="338"/>
      <c r="U37" s="338"/>
      <c r="V37" s="338"/>
      <c r="W37" s="338"/>
      <c r="X37" s="404" t="s">
        <v>97</v>
      </c>
      <c r="Y37" s="405"/>
      <c r="Z37" s="406"/>
      <c r="AA37" s="338"/>
      <c r="AB37" s="338"/>
      <c r="AC37" s="338"/>
      <c r="AD37" s="338"/>
      <c r="AE37" s="338"/>
      <c r="AF37" s="338"/>
      <c r="AG37" s="338"/>
      <c r="AJ37" s="139" t="s">
        <v>98</v>
      </c>
      <c r="AK37" s="139"/>
      <c r="AL37" s="139"/>
      <c r="AM37" s="139"/>
      <c r="AN37" s="139"/>
      <c r="AO37" s="139"/>
      <c r="AP37" s="139"/>
      <c r="AQ37" s="139"/>
      <c r="AR37" s="139"/>
      <c r="AS37" s="139"/>
      <c r="AT37" s="139"/>
      <c r="AU37" s="139"/>
      <c r="AV37" s="139"/>
      <c r="AW37" s="139"/>
      <c r="AX37" s="139"/>
      <c r="AY37" s="139"/>
      <c r="AZ37" s="139"/>
      <c r="BA37" s="139"/>
      <c r="BB37" s="139"/>
      <c r="BC37" s="139"/>
      <c r="BD37" s="139"/>
      <c r="BE37" s="139"/>
      <c r="BF37" s="139"/>
      <c r="BG37" s="139"/>
      <c r="BH37" s="139"/>
      <c r="BI37" s="139"/>
      <c r="BJ37" s="139"/>
    </row>
    <row r="38" spans="1:70" ht="19.5" customHeight="1">
      <c r="A38" s="491"/>
      <c r="B38" s="404" t="s">
        <v>99</v>
      </c>
      <c r="C38" s="405"/>
      <c r="D38" s="405"/>
      <c r="E38" s="405"/>
      <c r="F38" s="405"/>
      <c r="G38" s="405"/>
      <c r="H38" s="405"/>
      <c r="I38" s="405"/>
      <c r="J38" s="405"/>
      <c r="K38" s="405"/>
      <c r="L38" s="406"/>
      <c r="M38" s="331"/>
      <c r="N38" s="332"/>
      <c r="O38" s="332"/>
      <c r="P38" s="332"/>
      <c r="Q38" s="332"/>
      <c r="R38" s="332"/>
      <c r="S38" s="332"/>
      <c r="T38" s="332"/>
      <c r="U38" s="332"/>
      <c r="V38" s="333"/>
      <c r="W38" s="280"/>
      <c r="AG38" s="140"/>
      <c r="AJ38" s="139"/>
      <c r="AL38" s="489" t="s">
        <v>100</v>
      </c>
      <c r="AM38" s="489"/>
      <c r="AN38" s="489"/>
      <c r="AO38" s="489"/>
      <c r="AP38" s="489"/>
      <c r="AQ38" s="489"/>
      <c r="AR38" s="489"/>
      <c r="AS38" s="489"/>
      <c r="AT38" s="489"/>
      <c r="AU38" s="489"/>
      <c r="AV38" s="489"/>
      <c r="AW38" s="489"/>
      <c r="AX38" s="489"/>
      <c r="AY38" s="489"/>
      <c r="AZ38" s="489"/>
      <c r="BA38" s="489"/>
      <c r="BB38" s="489"/>
      <c r="BC38" s="489"/>
      <c r="BD38" s="489"/>
      <c r="BE38" s="489"/>
      <c r="BF38" s="489"/>
      <c r="BG38" s="489"/>
      <c r="BH38" s="489"/>
      <c r="BJ38" s="139"/>
    </row>
    <row r="39" spans="1:70" ht="23.1" customHeight="1">
      <c r="A39" s="491"/>
      <c r="AG39" s="140"/>
      <c r="AJ39" s="139"/>
      <c r="AL39" s="5" t="s">
        <v>101</v>
      </c>
      <c r="BJ39" s="139"/>
    </row>
    <row r="40" spans="1:70" ht="19.5" customHeight="1">
      <c r="A40" s="491"/>
      <c r="B40" s="462" t="s">
        <v>102</v>
      </c>
      <c r="C40" s="463"/>
      <c r="D40" s="463"/>
      <c r="E40" s="463"/>
      <c r="F40" s="463"/>
      <c r="G40" s="463"/>
      <c r="H40" s="463"/>
      <c r="I40" s="463"/>
      <c r="J40" s="463"/>
      <c r="K40" s="464"/>
      <c r="L40" s="438" t="str">
        <f>IFERROR(VLOOKUP($A$44,元データ!A:M,6,FALSE),"")</f>
        <v/>
      </c>
      <c r="M40" s="439"/>
      <c r="N40" s="439"/>
      <c r="O40" s="137" t="s">
        <v>103</v>
      </c>
      <c r="Q40" s="435" t="s">
        <v>104</v>
      </c>
      <c r="R40" s="374" t="s">
        <v>105</v>
      </c>
      <c r="S40" s="374"/>
      <c r="T40" s="374"/>
      <c r="U40" s="374"/>
      <c r="V40" s="430" t="str">
        <f>IFERROR(VLOOKUP($A$44,元データ!A:Y,19,FALSE)&amp;"","")</f>
        <v/>
      </c>
      <c r="W40" s="431"/>
      <c r="Y40" s="432" t="s">
        <v>106</v>
      </c>
      <c r="Z40" s="631" t="s">
        <v>107</v>
      </c>
      <c r="AA40" s="632"/>
      <c r="AB40" s="632"/>
      <c r="AC40" s="632"/>
      <c r="AD40" s="632"/>
      <c r="AE40" s="632"/>
      <c r="AF40" s="633"/>
      <c r="AG40" s="140"/>
      <c r="AJ40" s="139"/>
      <c r="AL40" s="281"/>
      <c r="AM40" s="281"/>
      <c r="AN40" s="281"/>
      <c r="AO40" s="281"/>
      <c r="AP40" s="281"/>
      <c r="AQ40" s="281"/>
      <c r="AR40" s="351" t="s">
        <v>108</v>
      </c>
      <c r="AS40" s="351"/>
      <c r="AT40" s="351"/>
      <c r="AU40" s="351"/>
      <c r="AV40" s="351"/>
      <c r="AW40" s="351"/>
      <c r="AX40" s="351"/>
      <c r="AY40" s="351"/>
      <c r="AZ40" s="351"/>
      <c r="BA40" s="351"/>
      <c r="BB40" s="351"/>
      <c r="BC40" s="351"/>
      <c r="BD40" s="351"/>
      <c r="BE40" s="351"/>
      <c r="BF40" s="351"/>
      <c r="BG40" s="351"/>
      <c r="BH40" s="351"/>
      <c r="BJ40" s="139"/>
    </row>
    <row r="41" spans="1:70" ht="18" customHeight="1">
      <c r="A41" s="491"/>
      <c r="B41" s="455" t="s">
        <v>109</v>
      </c>
      <c r="C41" s="634" t="s">
        <v>110</v>
      </c>
      <c r="D41" s="635"/>
      <c r="E41" s="635"/>
      <c r="F41" s="636"/>
      <c r="G41" s="380"/>
      <c r="H41" s="380"/>
      <c r="I41" s="380"/>
      <c r="J41" s="380"/>
      <c r="K41" s="380"/>
      <c r="L41" s="438" t="str">
        <f>IFERROR(VLOOKUP($A$44,元データ!A:M,7,FALSE),"")</f>
        <v/>
      </c>
      <c r="M41" s="439"/>
      <c r="N41" s="439"/>
      <c r="O41" s="137" t="s">
        <v>103</v>
      </c>
      <c r="Q41" s="436"/>
      <c r="R41" s="353" t="s">
        <v>111</v>
      </c>
      <c r="S41" s="354"/>
      <c r="T41" s="354"/>
      <c r="U41" s="355"/>
      <c r="V41" s="430" t="str">
        <f>IFERROR(VLOOKUP($A$44,元データ!A:Y,20,FALSE)&amp;"","")</f>
        <v/>
      </c>
      <c r="W41" s="431"/>
      <c r="Y41" s="432"/>
      <c r="Z41" s="470" t="str">
        <f>IFERROR(VLOOKUP(A44,元データ!A:R,14,FALSE),"")</f>
        <v/>
      </c>
      <c r="AA41" s="471"/>
      <c r="AB41" s="471"/>
      <c r="AC41" s="471"/>
      <c r="AD41" s="471"/>
      <c r="AE41" s="471"/>
      <c r="AF41" s="134" t="s">
        <v>103</v>
      </c>
      <c r="AG41" s="140"/>
      <c r="AJ41" s="139"/>
      <c r="AL41" s="281"/>
      <c r="AM41" s="281"/>
      <c r="AN41" s="281"/>
      <c r="AO41" s="281"/>
      <c r="AP41" s="281"/>
      <c r="AQ41" s="281"/>
      <c r="AR41" s="351"/>
      <c r="AS41" s="351"/>
      <c r="AT41" s="351"/>
      <c r="AU41" s="351"/>
      <c r="AV41" s="351"/>
      <c r="AW41" s="351"/>
      <c r="AX41" s="351"/>
      <c r="AY41" s="351"/>
      <c r="AZ41" s="351"/>
      <c r="BA41" s="351"/>
      <c r="BB41" s="351"/>
      <c r="BC41" s="351"/>
      <c r="BD41" s="351"/>
      <c r="BE41" s="351"/>
      <c r="BF41" s="351"/>
      <c r="BG41" s="351"/>
      <c r="BH41" s="351"/>
      <c r="BJ41" s="139"/>
    </row>
    <row r="42" spans="1:70" ht="18" customHeight="1">
      <c r="A42" s="491"/>
      <c r="B42" s="456"/>
      <c r="C42" s="634" t="s">
        <v>112</v>
      </c>
      <c r="D42" s="635"/>
      <c r="E42" s="635"/>
      <c r="F42" s="636"/>
      <c r="G42" s="380"/>
      <c r="H42" s="380"/>
      <c r="I42" s="380"/>
      <c r="J42" s="380"/>
      <c r="K42" s="380"/>
      <c r="L42" s="438" t="str">
        <f>IFERROR(VLOOKUP($A$44,元データ!A:M,8,FALSE),"")</f>
        <v/>
      </c>
      <c r="M42" s="439"/>
      <c r="N42" s="439"/>
      <c r="O42" s="137" t="s">
        <v>103</v>
      </c>
      <c r="Q42" s="436"/>
      <c r="R42" s="353" t="s">
        <v>113</v>
      </c>
      <c r="S42" s="354"/>
      <c r="T42" s="354"/>
      <c r="U42" s="355"/>
      <c r="V42" s="430" t="str">
        <f>IFERROR(VLOOKUP($A$44,元データ!A:Y,21,FALSE)&amp;"","")</f>
        <v/>
      </c>
      <c r="W42" s="431"/>
      <c r="Y42" s="432"/>
      <c r="Z42" s="631" t="s">
        <v>114</v>
      </c>
      <c r="AA42" s="632"/>
      <c r="AB42" s="632"/>
      <c r="AC42" s="632"/>
      <c r="AD42" s="632"/>
      <c r="AE42" s="632"/>
      <c r="AF42" s="633"/>
      <c r="AG42" s="140"/>
      <c r="AJ42" s="139"/>
      <c r="AL42" s="281"/>
      <c r="AM42" s="281"/>
      <c r="AN42" s="281"/>
      <c r="AO42" s="281"/>
      <c r="AP42" s="281"/>
      <c r="AQ42" s="281"/>
      <c r="AR42" s="351"/>
      <c r="AS42" s="351"/>
      <c r="AT42" s="351"/>
      <c r="AU42" s="351"/>
      <c r="AV42" s="351"/>
      <c r="AW42" s="351"/>
      <c r="AX42" s="351"/>
      <c r="AY42" s="351"/>
      <c r="AZ42" s="351"/>
      <c r="BA42" s="351"/>
      <c r="BB42" s="351"/>
      <c r="BC42" s="351"/>
      <c r="BD42" s="351"/>
      <c r="BE42" s="351"/>
      <c r="BF42" s="351"/>
      <c r="BG42" s="351"/>
      <c r="BH42" s="351"/>
      <c r="BJ42" s="139"/>
    </row>
    <row r="43" spans="1:70" ht="18" customHeight="1">
      <c r="A43" s="491"/>
      <c r="B43" s="456"/>
      <c r="C43" s="637" t="s">
        <v>115</v>
      </c>
      <c r="D43" s="638"/>
      <c r="E43" s="638"/>
      <c r="F43" s="639"/>
      <c r="G43" s="380" t="s">
        <v>116</v>
      </c>
      <c r="H43" s="380"/>
      <c r="I43" s="380"/>
      <c r="J43" s="380"/>
      <c r="K43" s="380"/>
      <c r="L43" s="438" t="str">
        <f>IFERROR(VLOOKUP($A$44,元データ!A:M,9,FALSE),"")</f>
        <v/>
      </c>
      <c r="M43" s="439"/>
      <c r="N43" s="439"/>
      <c r="O43" s="137" t="s">
        <v>103</v>
      </c>
      <c r="Q43" s="436"/>
      <c r="R43" s="356" t="s">
        <v>117</v>
      </c>
      <c r="S43" s="357"/>
      <c r="T43" s="357"/>
      <c r="U43" s="358"/>
      <c r="V43" s="430" t="str">
        <f>IFERROR(VLOOKUP($A$44,元データ!A:Y,22,FALSE)&amp;"","")</f>
        <v/>
      </c>
      <c r="W43" s="431"/>
      <c r="Y43" s="432"/>
      <c r="Z43" s="359" t="str">
        <f>IFERROR(VLOOKUP(A44,元データ!A:R,15,FALSE),"")</f>
        <v/>
      </c>
      <c r="AA43" s="360"/>
      <c r="AB43" s="360"/>
      <c r="AC43" s="360"/>
      <c r="AD43" s="360"/>
      <c r="AE43" s="360"/>
      <c r="AF43" s="134" t="s">
        <v>103</v>
      </c>
      <c r="AG43" s="140"/>
      <c r="AJ43" s="139"/>
      <c r="BJ43" s="139"/>
    </row>
    <row r="44" spans="1:70" ht="18" customHeight="1">
      <c r="A44" s="426" t="str">
        <f>Q8&amp;F8&amp;AA11&amp;AA15</f>
        <v/>
      </c>
      <c r="B44" s="456"/>
      <c r="C44" s="640" t="s">
        <v>118</v>
      </c>
      <c r="D44" s="641"/>
      <c r="E44" s="641"/>
      <c r="F44" s="642"/>
      <c r="G44" s="380"/>
      <c r="H44" s="380"/>
      <c r="I44" s="380"/>
      <c r="J44" s="380"/>
      <c r="K44" s="380"/>
      <c r="L44" s="438" t="str">
        <f>IFERROR(VLOOKUP($A$44,元データ!A:M,10,FALSE),"")</f>
        <v/>
      </c>
      <c r="M44" s="439"/>
      <c r="N44" s="439"/>
      <c r="O44" s="137" t="s">
        <v>103</v>
      </c>
      <c r="Q44" s="436"/>
      <c r="R44" s="356" t="s">
        <v>119</v>
      </c>
      <c r="S44" s="357"/>
      <c r="T44" s="357"/>
      <c r="U44" s="358"/>
      <c r="V44" s="430" t="str">
        <f>IFERROR(VLOOKUP($A$44,元データ!A:Y,23,FALSE)&amp;"","")</f>
        <v/>
      </c>
      <c r="W44" s="431"/>
      <c r="Y44" s="344" t="s">
        <v>120</v>
      </c>
      <c r="Z44" s="344"/>
      <c r="AA44" s="338"/>
      <c r="AB44" s="338"/>
      <c r="AC44" s="338"/>
      <c r="AD44" s="338"/>
      <c r="AE44" s="338"/>
      <c r="AF44" s="338"/>
      <c r="AG44" s="140"/>
      <c r="AJ44" s="139"/>
      <c r="AL44" s="281"/>
      <c r="AM44" s="281"/>
      <c r="AN44" s="281"/>
      <c r="AO44" s="281"/>
      <c r="AP44" s="281"/>
      <c r="AQ44" s="281"/>
      <c r="AR44" s="352" t="s">
        <v>121</v>
      </c>
      <c r="AS44" s="352"/>
      <c r="AT44" s="352"/>
      <c r="AU44" s="352"/>
      <c r="AV44" s="352"/>
      <c r="AW44" s="352"/>
      <c r="AX44" s="352"/>
      <c r="AY44" s="352"/>
      <c r="AZ44" s="352"/>
      <c r="BA44" s="352"/>
      <c r="BB44" s="352"/>
      <c r="BC44" s="352"/>
      <c r="BD44" s="352"/>
      <c r="BE44" s="352"/>
      <c r="BF44" s="352"/>
      <c r="BG44" s="352"/>
      <c r="BH44" s="352"/>
      <c r="BJ44" s="139"/>
    </row>
    <row r="45" spans="1:70" ht="18" customHeight="1">
      <c r="A45" s="426"/>
      <c r="B45" s="456"/>
      <c r="C45" s="640" t="s">
        <v>122</v>
      </c>
      <c r="D45" s="641"/>
      <c r="E45" s="641"/>
      <c r="F45" s="642"/>
      <c r="G45" s="380"/>
      <c r="H45" s="380"/>
      <c r="I45" s="380"/>
      <c r="J45" s="380"/>
      <c r="K45" s="380"/>
      <c r="L45" s="424" t="str">
        <f>IFERROR(VLOOKUP($A$44,元データ!A:M,11,FALSE),"")</f>
        <v/>
      </c>
      <c r="M45" s="425"/>
      <c r="N45" s="425"/>
      <c r="O45" s="137" t="s">
        <v>103</v>
      </c>
      <c r="Q45" s="436"/>
      <c r="R45" s="448" t="s">
        <v>123</v>
      </c>
      <c r="S45" s="449"/>
      <c r="T45" s="449"/>
      <c r="U45" s="450"/>
      <c r="V45" s="430" t="str">
        <f>IFERROR(VLOOKUP($A$44,元データ!A:Y,24,FALSE)&amp;"","")</f>
        <v/>
      </c>
      <c r="W45" s="431"/>
      <c r="AG45" s="140"/>
      <c r="AJ45" s="139"/>
      <c r="AL45" s="281"/>
      <c r="AM45" s="281"/>
      <c r="AN45" s="281"/>
      <c r="AO45" s="281"/>
      <c r="AP45" s="281"/>
      <c r="AQ45" s="281"/>
      <c r="AR45" s="352"/>
      <c r="AS45" s="352"/>
      <c r="AT45" s="352"/>
      <c r="AU45" s="352"/>
      <c r="AV45" s="352"/>
      <c r="AW45" s="352"/>
      <c r="AX45" s="352"/>
      <c r="AY45" s="352"/>
      <c r="AZ45" s="352"/>
      <c r="BA45" s="352"/>
      <c r="BB45" s="352"/>
      <c r="BC45" s="352"/>
      <c r="BD45" s="352"/>
      <c r="BE45" s="352"/>
      <c r="BF45" s="352"/>
      <c r="BG45" s="352"/>
      <c r="BH45" s="352"/>
      <c r="BJ45" s="139"/>
    </row>
    <row r="46" spans="1:70" ht="18" customHeight="1">
      <c r="A46" s="426"/>
      <c r="B46" s="456"/>
      <c r="C46" s="168"/>
      <c r="D46" s="428" t="s">
        <v>124</v>
      </c>
      <c r="E46" s="428"/>
      <c r="F46" s="429"/>
      <c r="G46" s="380"/>
      <c r="H46" s="380"/>
      <c r="I46" s="380"/>
      <c r="J46" s="380"/>
      <c r="K46" s="380"/>
      <c r="L46" s="424" t="str">
        <f>IFERROR(VLOOKUP($A$44,元データ!A:M,12,FALSE),"")</f>
        <v/>
      </c>
      <c r="M46" s="425"/>
      <c r="N46" s="425"/>
      <c r="O46" s="137" t="s">
        <v>103</v>
      </c>
      <c r="Q46" s="436"/>
      <c r="R46" s="366" t="s">
        <v>125</v>
      </c>
      <c r="S46" s="367"/>
      <c r="T46" s="367"/>
      <c r="U46" s="367"/>
      <c r="V46" s="477" t="str">
        <f>IFERROR(VLOOKUP($A$44,元データ!A:Y,25,FALSE)&amp;"","")</f>
        <v/>
      </c>
      <c r="W46" s="478"/>
      <c r="Y46" s="372" t="s">
        <v>126</v>
      </c>
      <c r="Z46" s="277" t="s">
        <v>127</v>
      </c>
      <c r="AA46" s="278"/>
      <c r="AB46" s="278"/>
      <c r="AC46" s="278"/>
      <c r="AD46" s="278"/>
      <c r="AE46" s="278"/>
      <c r="AF46" s="145"/>
      <c r="AG46" s="140"/>
      <c r="AJ46" s="139"/>
      <c r="AL46" s="281"/>
      <c r="AM46" s="281"/>
      <c r="AN46" s="281"/>
      <c r="AO46" s="281"/>
      <c r="AP46" s="281"/>
      <c r="AQ46" s="281"/>
      <c r="AR46" s="352"/>
      <c r="AS46" s="352"/>
      <c r="AT46" s="352"/>
      <c r="AU46" s="352"/>
      <c r="AV46" s="352"/>
      <c r="AW46" s="352"/>
      <c r="AX46" s="352"/>
      <c r="AY46" s="352"/>
      <c r="AZ46" s="352"/>
      <c r="BA46" s="352"/>
      <c r="BB46" s="352"/>
      <c r="BC46" s="352"/>
      <c r="BD46" s="352"/>
      <c r="BE46" s="352"/>
      <c r="BF46" s="352"/>
      <c r="BG46" s="352"/>
      <c r="BH46" s="352"/>
      <c r="BJ46" s="139"/>
    </row>
    <row r="47" spans="1:70" ht="18" customHeight="1">
      <c r="A47" s="426"/>
      <c r="B47" s="456"/>
      <c r="C47" s="460"/>
      <c r="D47" s="458" t="s">
        <v>128</v>
      </c>
      <c r="E47" s="458"/>
      <c r="F47" s="458"/>
      <c r="G47" s="380"/>
      <c r="H47" s="380"/>
      <c r="I47" s="380"/>
      <c r="J47" s="380"/>
      <c r="K47" s="380"/>
      <c r="L47" s="451" t="str">
        <f>IFERROR(VLOOKUP($A$44,元データ!A:M,13,FALSE),"")</f>
        <v/>
      </c>
      <c r="M47" s="452"/>
      <c r="N47" s="452"/>
      <c r="O47" s="363" t="s">
        <v>103</v>
      </c>
      <c r="Q47" s="436"/>
      <c r="R47" s="368"/>
      <c r="S47" s="369"/>
      <c r="T47" s="369"/>
      <c r="U47" s="369"/>
      <c r="V47" s="479"/>
      <c r="W47" s="480"/>
      <c r="Y47" s="373"/>
      <c r="Z47" s="340" t="str">
        <f>IFERROR(VLOOKUP(A44,元データ!A:R,16,FALSE),"")</f>
        <v/>
      </c>
      <c r="AA47" s="341"/>
      <c r="AB47" s="341"/>
      <c r="AC47" s="341"/>
      <c r="AD47" s="341"/>
      <c r="AE47" s="341"/>
      <c r="AF47" s="134" t="s">
        <v>103</v>
      </c>
      <c r="AG47" s="140"/>
      <c r="AJ47" s="139"/>
      <c r="BJ47" s="139"/>
    </row>
    <row r="48" spans="1:70" ht="18" customHeight="1">
      <c r="A48" s="426"/>
      <c r="B48" s="457"/>
      <c r="C48" s="461"/>
      <c r="D48" s="459"/>
      <c r="E48" s="459"/>
      <c r="F48" s="459"/>
      <c r="G48" s="380"/>
      <c r="H48" s="380"/>
      <c r="I48" s="380"/>
      <c r="J48" s="380"/>
      <c r="K48" s="380"/>
      <c r="L48" s="453"/>
      <c r="M48" s="454"/>
      <c r="N48" s="454"/>
      <c r="O48" s="364"/>
      <c r="Q48" s="437"/>
      <c r="R48" s="370"/>
      <c r="S48" s="371"/>
      <c r="T48" s="371"/>
      <c r="U48" s="371"/>
      <c r="V48" s="481"/>
      <c r="W48" s="482"/>
      <c r="Y48" s="372" t="s">
        <v>129</v>
      </c>
      <c r="Z48" s="277" t="s">
        <v>130</v>
      </c>
      <c r="AA48" s="278"/>
      <c r="AB48" s="278"/>
      <c r="AC48" s="278"/>
      <c r="AD48" s="278"/>
      <c r="AE48" s="278"/>
      <c r="AF48" s="145"/>
      <c r="AG48" s="140"/>
      <c r="AJ48" s="139"/>
      <c r="AL48" s="281"/>
      <c r="AM48" s="281"/>
      <c r="AN48" s="281"/>
      <c r="AO48" s="281"/>
      <c r="AP48" s="281"/>
      <c r="AQ48" s="281"/>
      <c r="AR48" s="352" t="s">
        <v>131</v>
      </c>
      <c r="AS48" s="352"/>
      <c r="AT48" s="352"/>
      <c r="AU48" s="352"/>
      <c r="AV48" s="352"/>
      <c r="AW48" s="352"/>
      <c r="AX48" s="352"/>
      <c r="AY48" s="352"/>
      <c r="AZ48" s="352"/>
      <c r="BA48" s="352"/>
      <c r="BB48" s="352"/>
      <c r="BC48" s="352"/>
      <c r="BD48" s="352"/>
      <c r="BE48" s="352"/>
      <c r="BF48" s="352"/>
      <c r="BG48" s="352"/>
      <c r="BH48" s="352"/>
      <c r="BJ48" s="139"/>
    </row>
    <row r="49" spans="1:62" ht="19.5" customHeight="1">
      <c r="A49" s="426"/>
      <c r="B49" s="397" t="s">
        <v>132</v>
      </c>
      <c r="C49" s="398"/>
      <c r="D49" s="398"/>
      <c r="E49" s="398"/>
      <c r="F49" s="398"/>
      <c r="G49" s="398"/>
      <c r="H49" s="398"/>
      <c r="I49" s="398"/>
      <c r="J49" s="398"/>
      <c r="K49" s="399"/>
      <c r="L49" s="433">
        <f xml:space="preserve"> colorfunction(AO2,L40:N48,TRUE)</f>
        <v>0</v>
      </c>
      <c r="M49" s="434"/>
      <c r="N49" s="434"/>
      <c r="O49" s="137" t="s">
        <v>103</v>
      </c>
      <c r="Q49" s="344" t="s">
        <v>120</v>
      </c>
      <c r="R49" s="344"/>
      <c r="S49" s="331"/>
      <c r="T49" s="332"/>
      <c r="U49" s="332"/>
      <c r="V49" s="332"/>
      <c r="W49" s="333"/>
      <c r="Y49" s="373"/>
      <c r="Z49" s="340" t="str">
        <f>IFERROR(VLOOKUP(A44,元データ!A:R,17,FALSE),"")</f>
        <v/>
      </c>
      <c r="AA49" s="341"/>
      <c r="AB49" s="341"/>
      <c r="AC49" s="341"/>
      <c r="AD49" s="341"/>
      <c r="AE49" s="341"/>
      <c r="AF49" s="134" t="s">
        <v>103</v>
      </c>
      <c r="AG49" s="140"/>
      <c r="AJ49" s="139"/>
      <c r="AL49" s="282"/>
      <c r="AM49" s="282"/>
      <c r="AN49" s="282"/>
      <c r="AO49" s="282"/>
      <c r="AP49" s="282"/>
      <c r="AQ49" s="281"/>
      <c r="AR49" s="352"/>
      <c r="AS49" s="352"/>
      <c r="AT49" s="352"/>
      <c r="AU49" s="352"/>
      <c r="AV49" s="352"/>
      <c r="AW49" s="352"/>
      <c r="AX49" s="352"/>
      <c r="AY49" s="352"/>
      <c r="AZ49" s="352"/>
      <c r="BA49" s="352"/>
      <c r="BB49" s="352"/>
      <c r="BC49" s="352"/>
      <c r="BD49" s="352"/>
      <c r="BE49" s="352"/>
      <c r="BF49" s="352"/>
      <c r="BG49" s="352"/>
      <c r="BH49" s="352"/>
      <c r="BJ49" s="139"/>
    </row>
    <row r="50" spans="1:62" ht="18" customHeight="1">
      <c r="A50" s="426"/>
      <c r="B50" s="283" t="s">
        <v>133</v>
      </c>
      <c r="C50" s="284"/>
      <c r="D50" s="284"/>
      <c r="E50" s="284"/>
      <c r="F50" s="284"/>
      <c r="G50" s="284"/>
      <c r="H50" s="284"/>
      <c r="I50" s="284"/>
      <c r="J50" s="284"/>
      <c r="K50" s="284"/>
      <c r="L50" s="285"/>
      <c r="M50" s="285"/>
      <c r="N50" s="141"/>
      <c r="O50" s="286"/>
      <c r="Q50" s="135"/>
      <c r="R50" s="135"/>
      <c r="S50" s="135"/>
      <c r="T50" s="135"/>
      <c r="U50" s="135"/>
      <c r="V50" s="135"/>
      <c r="W50" s="135"/>
      <c r="Y50" s="284"/>
      <c r="Z50" s="135"/>
      <c r="AA50" s="135"/>
      <c r="AB50" s="135"/>
      <c r="AC50" s="135"/>
      <c r="AD50" s="135"/>
      <c r="AE50" s="135"/>
      <c r="AG50" s="140"/>
      <c r="AJ50" s="139"/>
      <c r="AL50" s="282"/>
      <c r="AM50" s="282"/>
      <c r="AN50" s="282"/>
      <c r="AO50" s="282"/>
      <c r="AP50" s="282"/>
      <c r="AQ50" s="281"/>
      <c r="AR50" s="352"/>
      <c r="AS50" s="352"/>
      <c r="AT50" s="352"/>
      <c r="AU50" s="352"/>
      <c r="AV50" s="352"/>
      <c r="AW50" s="352"/>
      <c r="AX50" s="352"/>
      <c r="AY50" s="352"/>
      <c r="AZ50" s="352"/>
      <c r="BA50" s="352"/>
      <c r="BB50" s="352"/>
      <c r="BC50" s="352"/>
      <c r="BD50" s="352"/>
      <c r="BE50" s="352"/>
      <c r="BF50" s="352"/>
      <c r="BG50" s="352"/>
      <c r="BH50" s="352"/>
      <c r="BJ50" s="139"/>
    </row>
    <row r="51" spans="1:62" ht="20.45" customHeight="1">
      <c r="A51" s="426"/>
      <c r="B51" s="442"/>
      <c r="C51" s="443"/>
      <c r="D51" s="443"/>
      <c r="E51" s="443"/>
      <c r="G51" s="423"/>
      <c r="H51" s="423"/>
      <c r="I51" s="423"/>
      <c r="J51" s="423"/>
      <c r="K51" s="423"/>
      <c r="L51" s="423"/>
      <c r="M51" s="423"/>
      <c r="N51" s="423"/>
      <c r="O51" s="423"/>
      <c r="Q51" s="432" t="s">
        <v>134</v>
      </c>
      <c r="R51" s="432"/>
      <c r="S51" s="432"/>
      <c r="T51" s="432"/>
      <c r="U51" s="432"/>
      <c r="V51" s="404" t="s">
        <v>135</v>
      </c>
      <c r="W51" s="405"/>
      <c r="X51" s="406"/>
      <c r="Y51" s="331"/>
      <c r="Z51" s="332"/>
      <c r="AA51" s="332"/>
      <c r="AB51" s="332"/>
      <c r="AC51" s="332"/>
      <c r="AD51" s="332"/>
      <c r="AE51" s="332"/>
      <c r="AF51" s="333"/>
      <c r="AG51" s="140"/>
      <c r="AJ51" s="139"/>
      <c r="BJ51" s="139"/>
    </row>
    <row r="52" spans="1:62" ht="20.45" customHeight="1">
      <c r="A52" s="426"/>
      <c r="B52" s="443"/>
      <c r="C52" s="443"/>
      <c r="D52" s="443"/>
      <c r="E52" s="443"/>
      <c r="G52" s="423"/>
      <c r="H52" s="423"/>
      <c r="I52" s="423"/>
      <c r="J52" s="423"/>
      <c r="K52" s="423"/>
      <c r="L52" s="423"/>
      <c r="M52" s="423"/>
      <c r="N52" s="423"/>
      <c r="O52" s="423"/>
      <c r="Q52" s="432"/>
      <c r="R52" s="432"/>
      <c r="S52" s="432"/>
      <c r="T52" s="432"/>
      <c r="U52" s="432"/>
      <c r="V52" s="404" t="s">
        <v>37</v>
      </c>
      <c r="W52" s="405"/>
      <c r="X52" s="406"/>
      <c r="Y52" s="331"/>
      <c r="Z52" s="332"/>
      <c r="AA52" s="332"/>
      <c r="AB52" s="332"/>
      <c r="AC52" s="332"/>
      <c r="AD52" s="332"/>
      <c r="AE52" s="332"/>
      <c r="AF52" s="333"/>
      <c r="AG52" s="140"/>
      <c r="AJ52" s="139"/>
      <c r="AL52" s="5" t="s">
        <v>136</v>
      </c>
      <c r="AX52" s="287" t="s">
        <v>137</v>
      </c>
      <c r="BJ52" s="139"/>
    </row>
    <row r="53" spans="1:62" ht="3.6" customHeight="1">
      <c r="A53" s="427"/>
      <c r="B53" s="125"/>
      <c r="C53" s="125"/>
      <c r="D53" s="125"/>
      <c r="E53" s="125"/>
      <c r="F53" s="125"/>
      <c r="G53" s="125"/>
      <c r="H53" s="125"/>
      <c r="I53" s="125"/>
      <c r="J53" s="125"/>
      <c r="K53" s="125"/>
      <c r="L53" s="125"/>
      <c r="M53" s="125"/>
      <c r="N53" s="125"/>
      <c r="O53" s="125"/>
      <c r="P53" s="125"/>
      <c r="Q53" s="125"/>
      <c r="R53" s="125"/>
      <c r="S53" s="125"/>
      <c r="T53" s="125"/>
      <c r="U53" s="125"/>
      <c r="V53" s="125"/>
      <c r="W53" s="125"/>
      <c r="X53" s="125"/>
      <c r="Y53" s="125"/>
      <c r="Z53" s="125"/>
      <c r="AA53" s="125"/>
      <c r="AB53" s="125"/>
      <c r="AC53" s="125"/>
      <c r="AD53" s="125"/>
      <c r="AE53" s="125"/>
      <c r="AF53" s="125"/>
      <c r="AG53" s="142"/>
      <c r="AJ53" s="139"/>
      <c r="BJ53" s="139"/>
    </row>
    <row r="54" spans="1:62" ht="3.6" customHeight="1">
      <c r="AJ54" s="139"/>
      <c r="AL54" s="376"/>
      <c r="AM54" s="376"/>
      <c r="AN54" s="376"/>
      <c r="AO54" s="376"/>
      <c r="AP54" s="376"/>
      <c r="AR54" s="376"/>
      <c r="AS54" s="376"/>
      <c r="AT54" s="376"/>
      <c r="AU54" s="376"/>
      <c r="AV54" s="376"/>
      <c r="AX54" s="375"/>
      <c r="AY54" s="375"/>
      <c r="AZ54" s="375"/>
      <c r="BA54" s="375"/>
      <c r="BB54" s="375"/>
      <c r="BD54" s="376"/>
      <c r="BE54" s="376"/>
      <c r="BF54" s="376"/>
      <c r="BG54" s="376"/>
      <c r="BH54" s="376"/>
      <c r="BJ54" s="139"/>
    </row>
    <row r="55" spans="1:62" ht="13.5" customHeight="1">
      <c r="A55" s="295" t="s">
        <v>138</v>
      </c>
      <c r="B55" s="172" t="s">
        <v>139</v>
      </c>
      <c r="C55" s="172" t="s">
        <v>140</v>
      </c>
      <c r="D55" s="143" t="s">
        <v>141</v>
      </c>
      <c r="E55" s="143" t="s">
        <v>142</v>
      </c>
      <c r="F55" s="144"/>
      <c r="G55" s="144"/>
      <c r="H55" s="144"/>
      <c r="I55" s="144"/>
      <c r="J55" s="144"/>
      <c r="K55" s="144"/>
      <c r="L55" s="144"/>
      <c r="M55" s="144"/>
      <c r="N55" s="144"/>
      <c r="O55" s="144"/>
      <c r="P55" s="144"/>
      <c r="Q55" s="144"/>
      <c r="R55" s="144"/>
      <c r="S55" s="144"/>
      <c r="T55" s="144"/>
      <c r="U55" s="144"/>
      <c r="V55" s="144"/>
      <c r="W55" s="145"/>
      <c r="X55" s="167"/>
      <c r="Y55" s="365" t="s">
        <v>143</v>
      </c>
      <c r="Z55" s="323" t="s">
        <v>39</v>
      </c>
      <c r="AA55" s="324"/>
      <c r="AB55" s="325"/>
      <c r="AC55" s="361"/>
      <c r="AD55" s="362"/>
      <c r="AE55" s="362"/>
      <c r="AF55" s="362"/>
      <c r="AG55" s="363"/>
      <c r="AH55" s="174"/>
      <c r="AJ55" s="139"/>
      <c r="AL55" s="376"/>
      <c r="AM55" s="376"/>
      <c r="AN55" s="376"/>
      <c r="AO55" s="376"/>
      <c r="AP55" s="376"/>
      <c r="AR55" s="376"/>
      <c r="AS55" s="376"/>
      <c r="AT55" s="376"/>
      <c r="AU55" s="376"/>
      <c r="AV55" s="376"/>
      <c r="AX55" s="375"/>
      <c r="AY55" s="375"/>
      <c r="AZ55" s="375"/>
      <c r="BA55" s="375"/>
      <c r="BB55" s="375"/>
      <c r="BD55" s="376"/>
      <c r="BE55" s="376"/>
      <c r="BF55" s="376"/>
      <c r="BG55" s="376"/>
      <c r="BH55" s="376"/>
      <c r="BJ55" s="139"/>
    </row>
    <row r="56" spans="1:62" ht="13.5" customHeight="1">
      <c r="A56" s="296"/>
      <c r="B56" s="146"/>
      <c r="C56" s="146"/>
      <c r="D56" s="147" t="s">
        <v>144</v>
      </c>
      <c r="E56" s="147"/>
      <c r="F56" s="148"/>
      <c r="G56" s="148"/>
      <c r="H56" s="148"/>
      <c r="I56" s="148"/>
      <c r="J56" s="148"/>
      <c r="K56" s="148"/>
      <c r="L56" s="148"/>
      <c r="M56" s="148"/>
      <c r="N56" s="148"/>
      <c r="O56" s="148"/>
      <c r="P56" s="148"/>
      <c r="Q56" s="148"/>
      <c r="R56" s="148"/>
      <c r="S56" s="148"/>
      <c r="T56" s="148"/>
      <c r="U56" s="148"/>
      <c r="V56" s="148"/>
      <c r="W56" s="149"/>
      <c r="Y56" s="365"/>
      <c r="Z56" s="326"/>
      <c r="AA56" s="327"/>
      <c r="AB56" s="328"/>
      <c r="AC56" s="313"/>
      <c r="AD56" s="310"/>
      <c r="AE56" s="310"/>
      <c r="AF56" s="310"/>
      <c r="AG56" s="364"/>
      <c r="AJ56" s="139"/>
      <c r="AL56" s="376"/>
      <c r="AM56" s="376"/>
      <c r="AN56" s="376"/>
      <c r="AO56" s="376"/>
      <c r="AP56" s="376"/>
      <c r="AR56" s="376"/>
      <c r="AS56" s="376"/>
      <c r="AT56" s="376"/>
      <c r="AU56" s="376"/>
      <c r="AV56" s="376"/>
      <c r="AX56" s="375"/>
      <c r="AY56" s="375"/>
      <c r="AZ56" s="375"/>
      <c r="BA56" s="375"/>
      <c r="BB56" s="375"/>
      <c r="BD56" s="376"/>
      <c r="BE56" s="376"/>
      <c r="BF56" s="376"/>
      <c r="BG56" s="376"/>
      <c r="BH56" s="376"/>
      <c r="BJ56" s="139"/>
    </row>
    <row r="57" spans="1:62" ht="13.5" customHeight="1">
      <c r="A57" s="296"/>
      <c r="B57" s="146"/>
      <c r="C57" s="146"/>
      <c r="D57" s="147" t="s">
        <v>145</v>
      </c>
      <c r="E57" s="147"/>
      <c r="F57" s="133"/>
      <c r="G57" s="133"/>
      <c r="H57" s="133"/>
      <c r="I57" s="133"/>
      <c r="J57" s="133"/>
      <c r="K57" s="133"/>
      <c r="L57" s="133"/>
      <c r="M57" s="133"/>
      <c r="N57" s="133"/>
      <c r="O57" s="133"/>
      <c r="P57" s="133"/>
      <c r="Q57" s="133"/>
      <c r="R57" s="133"/>
      <c r="S57" s="133"/>
      <c r="T57" s="133"/>
      <c r="U57" s="133"/>
      <c r="V57" s="133"/>
      <c r="W57" s="134"/>
      <c r="Y57" s="365"/>
      <c r="Z57" s="323" t="s">
        <v>91</v>
      </c>
      <c r="AA57" s="324"/>
      <c r="AB57" s="325"/>
      <c r="AC57" s="361"/>
      <c r="AD57" s="362"/>
      <c r="AE57" s="362"/>
      <c r="AF57" s="362"/>
      <c r="AG57" s="363"/>
      <c r="AJ57" s="139"/>
      <c r="AL57" s="376"/>
      <c r="AM57" s="376"/>
      <c r="AN57" s="376"/>
      <c r="AO57" s="376"/>
      <c r="AP57" s="376"/>
      <c r="AR57" s="376"/>
      <c r="AS57" s="376"/>
      <c r="AT57" s="376"/>
      <c r="AU57" s="376"/>
      <c r="AV57" s="376"/>
      <c r="AX57" s="375"/>
      <c r="AY57" s="375"/>
      <c r="AZ57" s="375"/>
      <c r="BA57" s="375"/>
      <c r="BB57" s="375"/>
      <c r="BD57" s="376"/>
      <c r="BE57" s="376"/>
      <c r="BF57" s="376"/>
      <c r="BG57" s="376"/>
      <c r="BH57" s="376"/>
      <c r="BJ57" s="139"/>
    </row>
    <row r="58" spans="1:62" ht="13.5" customHeight="1">
      <c r="A58" s="296"/>
      <c r="B58" s="146" t="s">
        <v>146</v>
      </c>
      <c r="C58" s="146"/>
      <c r="D58" s="147" t="s">
        <v>147</v>
      </c>
      <c r="E58" s="147"/>
      <c r="F58" s="133"/>
      <c r="G58" s="133"/>
      <c r="H58" s="133"/>
      <c r="I58" s="133"/>
      <c r="J58" s="133"/>
      <c r="K58" s="133"/>
      <c r="L58" s="133"/>
      <c r="M58" s="133"/>
      <c r="N58" s="133"/>
      <c r="O58" s="133"/>
      <c r="P58" s="133"/>
      <c r="Q58" s="133"/>
      <c r="R58" s="133"/>
      <c r="S58" s="133"/>
      <c r="T58" s="133"/>
      <c r="U58" s="133"/>
      <c r="V58" s="133"/>
      <c r="W58" s="134"/>
      <c r="Y58" s="365"/>
      <c r="Z58" s="326"/>
      <c r="AA58" s="327"/>
      <c r="AB58" s="328"/>
      <c r="AC58" s="313"/>
      <c r="AD58" s="310"/>
      <c r="AE58" s="310"/>
      <c r="AF58" s="310"/>
      <c r="AG58" s="364"/>
      <c r="AJ58" s="139"/>
      <c r="AM58" s="135"/>
      <c r="AN58" s="135"/>
      <c r="AO58" s="135"/>
      <c r="AP58" s="135"/>
      <c r="AR58" s="135"/>
      <c r="AS58" s="135"/>
      <c r="AT58" s="135"/>
      <c r="AU58" s="135"/>
      <c r="AV58" s="135"/>
      <c r="AX58" s="135"/>
      <c r="AY58" s="135"/>
      <c r="AZ58" s="135"/>
      <c r="BA58" s="135"/>
      <c r="BB58" s="135"/>
      <c r="BD58" s="135"/>
      <c r="BE58" s="135"/>
      <c r="BF58" s="135"/>
      <c r="BG58" s="135"/>
      <c r="BH58" s="135"/>
      <c r="BJ58" s="139"/>
    </row>
    <row r="59" spans="1:62" ht="13.5" customHeight="1" thickBot="1">
      <c r="A59" s="296"/>
      <c r="B59" s="288"/>
      <c r="C59" s="288"/>
      <c r="D59" s="289" t="s">
        <v>148</v>
      </c>
      <c r="E59" s="289"/>
      <c r="F59" s="167"/>
      <c r="G59" s="167"/>
      <c r="H59" s="167"/>
      <c r="I59" s="167"/>
      <c r="J59" s="167"/>
      <c r="K59" s="167"/>
      <c r="L59" s="167"/>
      <c r="M59" s="167"/>
      <c r="N59" s="167"/>
      <c r="O59" s="167"/>
      <c r="P59" s="167"/>
      <c r="Q59" s="167"/>
      <c r="R59" s="167"/>
      <c r="S59" s="167"/>
      <c r="T59" s="167"/>
      <c r="U59" s="167"/>
      <c r="V59" s="167"/>
      <c r="W59" s="290"/>
      <c r="Y59" s="365"/>
      <c r="Z59" s="323" t="s">
        <v>149</v>
      </c>
      <c r="AA59" s="324"/>
      <c r="AB59" s="325"/>
      <c r="AC59" s="361"/>
      <c r="AD59" s="362"/>
      <c r="AE59" s="362"/>
      <c r="AF59" s="362"/>
      <c r="AG59" s="363"/>
      <c r="AJ59" s="139"/>
      <c r="AL59" s="5" t="s">
        <v>150</v>
      </c>
      <c r="AM59" s="135"/>
      <c r="AN59" s="135"/>
      <c r="AO59" s="135"/>
      <c r="AP59" s="135"/>
      <c r="AR59" s="135"/>
      <c r="AS59" s="135"/>
      <c r="AT59" s="135"/>
      <c r="AU59" s="135"/>
      <c r="AV59" s="135"/>
      <c r="AX59" s="135"/>
      <c r="AY59" s="135"/>
      <c r="AZ59" s="135"/>
      <c r="BA59" s="135"/>
      <c r="BB59" s="135"/>
      <c r="BD59" s="135"/>
      <c r="BE59" s="135"/>
      <c r="BF59" s="135"/>
      <c r="BG59" s="135"/>
      <c r="BH59" s="135"/>
      <c r="BJ59" s="139"/>
    </row>
    <row r="60" spans="1:62" ht="13.5" customHeight="1">
      <c r="A60" s="296"/>
      <c r="B60" s="291"/>
      <c r="C60" s="291"/>
      <c r="D60" s="292" t="s">
        <v>151</v>
      </c>
      <c r="E60" s="292"/>
      <c r="F60" s="293"/>
      <c r="G60" s="293"/>
      <c r="H60" s="293"/>
      <c r="I60" s="293"/>
      <c r="J60" s="293"/>
      <c r="K60" s="293"/>
      <c r="L60" s="293"/>
      <c r="M60" s="293"/>
      <c r="N60" s="293"/>
      <c r="O60" s="293"/>
      <c r="P60" s="293"/>
      <c r="Q60" s="293"/>
      <c r="R60" s="293"/>
      <c r="S60" s="293"/>
      <c r="T60" s="293"/>
      <c r="U60" s="293"/>
      <c r="V60" s="293"/>
      <c r="W60" s="294"/>
      <c r="Y60" s="365"/>
      <c r="Z60" s="326"/>
      <c r="AA60" s="327"/>
      <c r="AB60" s="328"/>
      <c r="AC60" s="313"/>
      <c r="AD60" s="310"/>
      <c r="AE60" s="310"/>
      <c r="AF60" s="310"/>
      <c r="AG60" s="364"/>
      <c r="AJ60" s="139"/>
      <c r="AL60" s="127"/>
      <c r="AM60" s="127"/>
      <c r="AN60" s="127"/>
      <c r="AO60" s="127"/>
      <c r="AP60" s="127"/>
      <c r="AQ60" s="127"/>
      <c r="AR60" s="339" t="s">
        <v>152</v>
      </c>
      <c r="AS60" s="339"/>
      <c r="AT60" s="339"/>
      <c r="AU60" s="339"/>
      <c r="AV60" s="339"/>
      <c r="AW60" s="339"/>
      <c r="AX60" s="339"/>
      <c r="AY60" s="339"/>
      <c r="AZ60" s="339"/>
      <c r="BA60" s="339"/>
      <c r="BB60" s="339"/>
      <c r="BC60" s="339"/>
      <c r="BD60" s="339"/>
      <c r="BE60" s="339"/>
      <c r="BF60" s="339"/>
      <c r="BG60" s="339"/>
      <c r="BH60" s="339"/>
      <c r="BJ60" s="139"/>
    </row>
    <row r="61" spans="1:62" ht="13.5" customHeight="1">
      <c r="A61" s="296"/>
      <c r="B61" s="146" t="s">
        <v>146</v>
      </c>
      <c r="C61" s="146"/>
      <c r="D61" s="147" t="s">
        <v>153</v>
      </c>
      <c r="E61" s="147"/>
      <c r="F61" s="133"/>
      <c r="G61" s="133"/>
      <c r="H61" s="133"/>
      <c r="I61" s="133"/>
      <c r="J61" s="133"/>
      <c r="K61" s="133"/>
      <c r="L61" s="133"/>
      <c r="M61" s="133"/>
      <c r="N61" s="133"/>
      <c r="O61" s="133"/>
      <c r="P61" s="133"/>
      <c r="Q61" s="133"/>
      <c r="R61" s="133"/>
      <c r="S61" s="133"/>
      <c r="T61" s="133"/>
      <c r="U61" s="133"/>
      <c r="V61" s="133"/>
      <c r="W61" s="134"/>
      <c r="Y61" s="365"/>
      <c r="Z61" s="323" t="s">
        <v>154</v>
      </c>
      <c r="AA61" s="324"/>
      <c r="AB61" s="325"/>
      <c r="AC61" s="361"/>
      <c r="AD61" s="362"/>
      <c r="AE61" s="362"/>
      <c r="AF61" s="362"/>
      <c r="AG61" s="363"/>
      <c r="AJ61" s="139"/>
      <c r="AL61" s="127"/>
      <c r="AM61" s="127"/>
      <c r="AN61" s="127"/>
      <c r="AO61" s="127"/>
      <c r="AP61" s="127"/>
      <c r="AQ61" s="127"/>
      <c r="AR61" s="339"/>
      <c r="AS61" s="339"/>
      <c r="AT61" s="339"/>
      <c r="AU61" s="339"/>
      <c r="AV61" s="339"/>
      <c r="AW61" s="339"/>
      <c r="AX61" s="339"/>
      <c r="AY61" s="339"/>
      <c r="AZ61" s="339"/>
      <c r="BA61" s="339"/>
      <c r="BB61" s="339"/>
      <c r="BC61" s="339"/>
      <c r="BD61" s="339"/>
      <c r="BE61" s="339"/>
      <c r="BF61" s="339"/>
      <c r="BG61" s="339"/>
      <c r="BH61" s="339"/>
      <c r="BJ61" s="139"/>
    </row>
    <row r="62" spans="1:62" ht="12.95" customHeight="1">
      <c r="A62" s="297"/>
      <c r="B62" s="146"/>
      <c r="C62" s="146" t="s">
        <v>146</v>
      </c>
      <c r="D62" s="147" t="s">
        <v>155</v>
      </c>
      <c r="E62" s="147"/>
      <c r="F62" s="133"/>
      <c r="G62" s="133"/>
      <c r="H62" s="133"/>
      <c r="I62" s="133"/>
      <c r="J62" s="133"/>
      <c r="K62" s="133"/>
      <c r="L62" s="133"/>
      <c r="M62" s="133"/>
      <c r="N62" s="133"/>
      <c r="O62" s="133"/>
      <c r="P62" s="133"/>
      <c r="Q62" s="133"/>
      <c r="R62" s="133"/>
      <c r="S62" s="133"/>
      <c r="T62" s="133"/>
      <c r="U62" s="133"/>
      <c r="V62" s="133"/>
      <c r="W62" s="134"/>
      <c r="X62" s="125"/>
      <c r="Y62" s="365"/>
      <c r="Z62" s="326"/>
      <c r="AA62" s="327"/>
      <c r="AB62" s="328"/>
      <c r="AC62" s="313"/>
      <c r="AD62" s="310"/>
      <c r="AE62" s="310"/>
      <c r="AF62" s="310"/>
      <c r="AG62" s="364"/>
      <c r="AJ62" s="139"/>
      <c r="AL62" s="127"/>
      <c r="AM62" s="127"/>
      <c r="AN62" s="127"/>
      <c r="AO62" s="127"/>
      <c r="AP62" s="127"/>
      <c r="AQ62" s="127"/>
      <c r="AR62" s="339"/>
      <c r="AS62" s="339"/>
      <c r="AT62" s="339"/>
      <c r="AU62" s="339"/>
      <c r="AV62" s="339"/>
      <c r="AW62" s="339"/>
      <c r="AX62" s="339"/>
      <c r="AY62" s="339"/>
      <c r="AZ62" s="339"/>
      <c r="BA62" s="339"/>
      <c r="BB62" s="339"/>
      <c r="BC62" s="339"/>
      <c r="BD62" s="339"/>
      <c r="BE62" s="339"/>
      <c r="BF62" s="339"/>
      <c r="BG62" s="339"/>
      <c r="BH62" s="339"/>
      <c r="BJ62" s="139"/>
    </row>
    <row r="63" spans="1:62" ht="31.5" customHeight="1">
      <c r="A63" s="133"/>
      <c r="AJ63" s="139"/>
      <c r="AM63" s="135"/>
      <c r="AN63" s="135"/>
      <c r="AO63" s="135"/>
      <c r="AP63" s="135"/>
      <c r="AR63" s="135"/>
      <c r="AS63" s="135"/>
      <c r="AT63" s="135"/>
      <c r="AU63" s="135"/>
      <c r="AV63" s="135"/>
      <c r="AX63" s="135"/>
      <c r="AY63" s="135"/>
      <c r="AZ63" s="135"/>
      <c r="BA63" s="135"/>
      <c r="BB63" s="135"/>
      <c r="BD63" s="135"/>
      <c r="BE63" s="135"/>
      <c r="BF63" s="135"/>
      <c r="BG63" s="135"/>
      <c r="BH63" s="135"/>
      <c r="BJ63" s="139"/>
    </row>
    <row r="64" spans="1:62" ht="12.95" customHeight="1">
      <c r="A64" s="295" t="s">
        <v>156</v>
      </c>
      <c r="B64" s="444" t="s">
        <v>157</v>
      </c>
      <c r="C64" s="445"/>
      <c r="D64" s="150" t="s">
        <v>158</v>
      </c>
      <c r="E64" s="150"/>
      <c r="F64" s="150"/>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1"/>
      <c r="AJ64" s="139"/>
      <c r="AL64" s="127"/>
      <c r="AM64" s="127"/>
      <c r="AN64" s="127"/>
      <c r="AO64" s="127"/>
      <c r="AP64" s="127"/>
      <c r="AQ64" s="127"/>
      <c r="AR64" s="339" t="s">
        <v>159</v>
      </c>
      <c r="AS64" s="339"/>
      <c r="AT64" s="339"/>
      <c r="AU64" s="339"/>
      <c r="AV64" s="339"/>
      <c r="AW64" s="339"/>
      <c r="AX64" s="339"/>
      <c r="AY64" s="339"/>
      <c r="AZ64" s="339"/>
      <c r="BA64" s="339"/>
      <c r="BB64" s="339"/>
      <c r="BC64" s="339"/>
      <c r="BD64" s="339"/>
      <c r="BE64" s="339"/>
      <c r="BF64" s="339"/>
      <c r="BG64" s="339"/>
      <c r="BH64" s="339"/>
      <c r="BJ64" s="139"/>
    </row>
    <row r="65" spans="1:62">
      <c r="A65" s="296"/>
      <c r="B65" s="446"/>
      <c r="C65" s="447"/>
      <c r="E65" s="5" t="s">
        <v>160</v>
      </c>
      <c r="AG65" s="140"/>
      <c r="AJ65" s="139"/>
      <c r="AL65" s="127"/>
      <c r="AM65" s="127"/>
      <c r="AN65" s="127"/>
      <c r="AO65" s="127"/>
      <c r="AP65" s="127"/>
      <c r="AQ65" s="127"/>
      <c r="AR65" s="339"/>
      <c r="AS65" s="339"/>
      <c r="AT65" s="339"/>
      <c r="AU65" s="339"/>
      <c r="AV65" s="339"/>
      <c r="AW65" s="339"/>
      <c r="AX65" s="339"/>
      <c r="AY65" s="339"/>
      <c r="AZ65" s="339"/>
      <c r="BA65" s="339"/>
      <c r="BB65" s="339"/>
      <c r="BC65" s="339"/>
      <c r="BD65" s="339"/>
      <c r="BE65" s="339"/>
      <c r="BF65" s="339"/>
      <c r="BG65" s="339"/>
      <c r="BH65" s="339"/>
      <c r="BJ65" s="139"/>
    </row>
    <row r="66" spans="1:62">
      <c r="A66" s="296"/>
      <c r="B66" s="446"/>
      <c r="C66" s="447"/>
      <c r="E66" s="152" t="s">
        <v>161</v>
      </c>
      <c r="AG66" s="140"/>
      <c r="AJ66" s="139"/>
      <c r="AL66" s="127"/>
      <c r="AM66" s="127"/>
      <c r="AN66" s="127"/>
      <c r="AO66" s="127"/>
      <c r="AP66" s="127"/>
      <c r="AQ66" s="127"/>
      <c r="AR66" s="339"/>
      <c r="AS66" s="339"/>
      <c r="AT66" s="339"/>
      <c r="AU66" s="339"/>
      <c r="AV66" s="339"/>
      <c r="AW66" s="339"/>
      <c r="AX66" s="339"/>
      <c r="AY66" s="339"/>
      <c r="AZ66" s="339"/>
      <c r="BA66" s="339"/>
      <c r="BB66" s="339"/>
      <c r="BC66" s="339"/>
      <c r="BD66" s="339"/>
      <c r="BE66" s="339"/>
      <c r="BF66" s="339"/>
      <c r="BG66" s="339"/>
      <c r="BH66" s="339"/>
      <c r="BJ66" s="139"/>
    </row>
    <row r="67" spans="1:62">
      <c r="A67" s="296"/>
      <c r="B67" s="256" t="s">
        <v>162</v>
      </c>
      <c r="C67" s="257"/>
      <c r="D67" s="150" t="s">
        <v>163</v>
      </c>
      <c r="E67" s="150"/>
      <c r="F67" s="150"/>
      <c r="G67" s="150"/>
      <c r="H67" s="150"/>
      <c r="I67" s="150"/>
      <c r="J67" s="150"/>
      <c r="K67" s="150"/>
      <c r="L67" s="150"/>
      <c r="M67" s="150"/>
      <c r="N67" s="150"/>
      <c r="O67" s="150"/>
      <c r="P67" s="150"/>
      <c r="Q67" s="150"/>
      <c r="R67" s="150"/>
      <c r="S67" s="150"/>
      <c r="T67" s="150"/>
      <c r="U67" s="150"/>
      <c r="V67" s="150"/>
      <c r="W67" s="150"/>
      <c r="X67" s="150"/>
      <c r="Y67" s="150"/>
      <c r="Z67" s="150"/>
      <c r="AA67" s="150"/>
      <c r="AB67" s="150"/>
      <c r="AC67" s="150"/>
      <c r="AD67" s="150"/>
      <c r="AE67" s="150"/>
      <c r="AF67" s="150"/>
      <c r="AG67" s="151"/>
      <c r="AJ67" s="139"/>
      <c r="AL67" s="135"/>
      <c r="AM67" s="135"/>
      <c r="AN67" s="135"/>
      <c r="AO67" s="135"/>
      <c r="AP67" s="135"/>
      <c r="AR67" s="135"/>
      <c r="AS67" s="135"/>
      <c r="AT67" s="135"/>
      <c r="AU67" s="135"/>
      <c r="AV67" s="135"/>
      <c r="AX67" s="135"/>
      <c r="AY67" s="135"/>
      <c r="AZ67" s="135"/>
      <c r="BA67" s="135"/>
      <c r="BB67" s="135"/>
      <c r="BD67" s="135"/>
      <c r="BE67" s="135"/>
      <c r="BF67" s="135"/>
      <c r="BG67" s="135"/>
      <c r="BH67" s="135"/>
      <c r="BJ67" s="139"/>
    </row>
    <row r="68" spans="1:62">
      <c r="A68" s="296"/>
      <c r="B68" s="258"/>
      <c r="C68" s="259"/>
      <c r="D68" s="5" t="s">
        <v>164</v>
      </c>
      <c r="H68" s="152" t="s">
        <v>165</v>
      </c>
      <c r="U68" s="5" t="s">
        <v>166</v>
      </c>
      <c r="X68" s="5" t="s">
        <v>167</v>
      </c>
      <c r="AG68" s="140"/>
      <c r="AJ68" s="139"/>
      <c r="AK68" s="139"/>
      <c r="AL68" s="139"/>
      <c r="AM68" s="139"/>
      <c r="AN68" s="139"/>
      <c r="AO68" s="139"/>
      <c r="AP68" s="139"/>
      <c r="AQ68" s="139"/>
      <c r="AR68" s="139"/>
      <c r="AS68" s="139"/>
      <c r="AT68" s="139"/>
      <c r="AU68" s="139"/>
      <c r="AV68" s="139"/>
      <c r="AW68" s="139"/>
      <c r="AX68" s="139"/>
      <c r="AY68" s="139"/>
      <c r="AZ68" s="139"/>
      <c r="BA68" s="139"/>
      <c r="BB68" s="139"/>
      <c r="BC68" s="139"/>
      <c r="BD68" s="139"/>
      <c r="BE68" s="139"/>
      <c r="BF68" s="139"/>
      <c r="BG68" s="139"/>
      <c r="BH68" s="139"/>
      <c r="BI68" s="139"/>
      <c r="BJ68" s="139"/>
    </row>
    <row r="69" spans="1:62" ht="5.0999999999999996" customHeight="1">
      <c r="A69" s="296"/>
      <c r="B69" s="258"/>
      <c r="C69" s="259"/>
      <c r="AG69" s="140"/>
    </row>
    <row r="70" spans="1:62">
      <c r="A70" s="296"/>
      <c r="B70" s="258"/>
      <c r="C70" s="259"/>
      <c r="E70" s="5" t="s">
        <v>168</v>
      </c>
      <c r="AG70" s="140"/>
    </row>
    <row r="71" spans="1:62">
      <c r="A71" s="296"/>
      <c r="B71" s="258"/>
      <c r="C71" s="259"/>
      <c r="E71" s="5" t="s">
        <v>169</v>
      </c>
      <c r="AG71" s="140"/>
    </row>
    <row r="72" spans="1:62">
      <c r="A72" s="296"/>
      <c r="B72" s="258"/>
      <c r="C72" s="259"/>
      <c r="E72" s="5" t="s">
        <v>170</v>
      </c>
      <c r="AG72" s="140"/>
    </row>
    <row r="73" spans="1:62" ht="5.0999999999999996" customHeight="1">
      <c r="A73" s="296"/>
      <c r="B73" s="258"/>
      <c r="C73" s="259"/>
      <c r="AG73" s="140"/>
    </row>
    <row r="74" spans="1:62">
      <c r="A74" s="296"/>
      <c r="B74" s="258"/>
      <c r="C74" s="259"/>
      <c r="E74" s="5" t="s">
        <v>171</v>
      </c>
      <c r="AG74" s="140"/>
    </row>
    <row r="75" spans="1:62" ht="4.5" customHeight="1">
      <c r="A75" s="296"/>
      <c r="B75" s="258"/>
      <c r="C75" s="259"/>
      <c r="AG75" s="140"/>
    </row>
    <row r="76" spans="1:62">
      <c r="A76" s="296"/>
      <c r="B76" s="258"/>
      <c r="C76" s="259"/>
      <c r="E76" s="5" t="s">
        <v>172</v>
      </c>
      <c r="AG76" s="140"/>
    </row>
    <row r="77" spans="1:62">
      <c r="A77" s="296"/>
      <c r="B77" s="258"/>
      <c r="C77" s="259"/>
      <c r="E77" s="5" t="s">
        <v>173</v>
      </c>
      <c r="AG77" s="140"/>
    </row>
    <row r="78" spans="1:62" ht="5.0999999999999996" customHeight="1">
      <c r="A78" s="296"/>
      <c r="B78" s="258"/>
      <c r="C78" s="259"/>
      <c r="AG78" s="140"/>
    </row>
    <row r="79" spans="1:62">
      <c r="A79" s="296"/>
      <c r="B79" s="258"/>
      <c r="C79" s="259"/>
      <c r="D79" s="5" t="s">
        <v>174</v>
      </c>
      <c r="AG79" s="140"/>
    </row>
    <row r="80" spans="1:62">
      <c r="A80" s="296"/>
      <c r="B80" s="258"/>
      <c r="C80" s="259"/>
      <c r="E80" s="5" t="s">
        <v>175</v>
      </c>
      <c r="AG80" s="140"/>
    </row>
    <row r="81" spans="1:33">
      <c r="A81" s="296"/>
      <c r="B81" s="258"/>
      <c r="C81" s="259"/>
      <c r="F81" s="5" t="s">
        <v>176</v>
      </c>
      <c r="AG81" s="140"/>
    </row>
    <row r="82" spans="1:33">
      <c r="A82" s="296"/>
      <c r="B82" s="258"/>
      <c r="C82" s="259"/>
      <c r="F82" s="5" t="s">
        <v>177</v>
      </c>
      <c r="AG82" s="140"/>
    </row>
    <row r="83" spans="1:33">
      <c r="A83" s="296"/>
      <c r="B83" s="258"/>
      <c r="C83" s="259"/>
      <c r="G83" s="5" t="s">
        <v>178</v>
      </c>
      <c r="AG83" s="140"/>
    </row>
    <row r="84" spans="1:33">
      <c r="A84" s="296"/>
      <c r="B84" s="258"/>
      <c r="C84" s="259"/>
      <c r="G84" s="152" t="s">
        <v>179</v>
      </c>
      <c r="AG84" s="140"/>
    </row>
    <row r="85" spans="1:33" ht="5.0999999999999996" customHeight="1">
      <c r="A85" s="296"/>
      <c r="B85" s="258"/>
      <c r="C85" s="259"/>
      <c r="AG85" s="140"/>
    </row>
    <row r="86" spans="1:33">
      <c r="A86" s="296"/>
      <c r="B86" s="258"/>
      <c r="C86" s="259"/>
      <c r="E86" s="5" t="s">
        <v>180</v>
      </c>
      <c r="AG86" s="140"/>
    </row>
    <row r="87" spans="1:33">
      <c r="A87" s="296"/>
      <c r="B87" s="258"/>
      <c r="C87" s="259"/>
      <c r="F87" s="5" t="s">
        <v>181</v>
      </c>
      <c r="AG87" s="140"/>
    </row>
    <row r="88" spans="1:33">
      <c r="A88" s="296"/>
      <c r="B88" s="258"/>
      <c r="C88" s="259"/>
      <c r="F88" s="5" t="s">
        <v>182</v>
      </c>
      <c r="AG88" s="140"/>
    </row>
    <row r="89" spans="1:33" ht="5.0999999999999996" customHeight="1">
      <c r="A89" s="296"/>
      <c r="B89" s="258"/>
      <c r="C89" s="259"/>
      <c r="AG89" s="140"/>
    </row>
    <row r="90" spans="1:33" ht="3.6" customHeight="1">
      <c r="A90" s="296"/>
      <c r="B90" s="260"/>
      <c r="C90" s="261"/>
      <c r="D90" s="125"/>
      <c r="E90" s="125"/>
      <c r="F90" s="125"/>
      <c r="G90" s="125"/>
      <c r="H90" s="125"/>
      <c r="I90" s="125"/>
      <c r="J90" s="125"/>
      <c r="K90" s="125"/>
      <c r="L90" s="125"/>
      <c r="M90" s="125"/>
      <c r="N90" s="125"/>
      <c r="O90" s="125"/>
      <c r="P90" s="125"/>
      <c r="Q90" s="125"/>
      <c r="R90" s="125"/>
      <c r="S90" s="125"/>
      <c r="T90" s="125"/>
      <c r="U90" s="125"/>
      <c r="V90" s="125"/>
      <c r="W90" s="125"/>
      <c r="X90" s="125"/>
      <c r="Y90" s="125"/>
      <c r="Z90" s="125"/>
      <c r="AA90" s="125"/>
      <c r="AB90" s="125"/>
      <c r="AC90" s="125"/>
      <c r="AD90" s="125"/>
      <c r="AE90" s="125"/>
      <c r="AF90" s="125"/>
      <c r="AG90" s="142"/>
    </row>
    <row r="91" spans="1:33" ht="17.100000000000001" customHeight="1">
      <c r="A91" s="297"/>
      <c r="B91" s="440" t="s">
        <v>183</v>
      </c>
      <c r="C91" s="441"/>
      <c r="D91" s="153" t="s">
        <v>184</v>
      </c>
      <c r="E91" s="133"/>
      <c r="F91" s="133"/>
      <c r="G91" s="133"/>
      <c r="H91" s="133"/>
      <c r="I91" s="133"/>
      <c r="J91" s="133"/>
      <c r="K91" s="133"/>
      <c r="L91" s="133"/>
      <c r="M91" s="133"/>
      <c r="N91" s="133"/>
      <c r="O91" s="133"/>
      <c r="P91" s="133"/>
      <c r="Q91" s="133"/>
      <c r="R91" s="133"/>
      <c r="S91" s="133"/>
      <c r="T91" s="133"/>
      <c r="U91" s="133"/>
      <c r="V91" s="133"/>
      <c r="W91" s="133"/>
      <c r="X91" s="133"/>
      <c r="Y91" s="133"/>
      <c r="Z91" s="133"/>
      <c r="AA91" s="133"/>
      <c r="AB91" s="133"/>
      <c r="AC91" s="133"/>
      <c r="AD91" s="133"/>
      <c r="AE91" s="133"/>
      <c r="AF91" s="133"/>
      <c r="AG91" s="134"/>
    </row>
  </sheetData>
  <mergeCells count="221">
    <mergeCell ref="AJ3:AN4"/>
    <mergeCell ref="A15:A17"/>
    <mergeCell ref="P38:Q38"/>
    <mergeCell ref="P35:Q35"/>
    <mergeCell ref="R35:W35"/>
    <mergeCell ref="M37:P37"/>
    <mergeCell ref="B33:E33"/>
    <mergeCell ref="F21:W21"/>
    <mergeCell ref="F22:W22"/>
    <mergeCell ref="F23:W23"/>
    <mergeCell ref="F20:H20"/>
    <mergeCell ref="J20:L20"/>
    <mergeCell ref="M26:P26"/>
    <mergeCell ref="Q33:AG33"/>
    <mergeCell ref="B24:C28"/>
    <mergeCell ref="B35:E35"/>
    <mergeCell ref="F35:G35"/>
    <mergeCell ref="X25:Z25"/>
    <mergeCell ref="B38:L38"/>
    <mergeCell ref="AL38:BH38"/>
    <mergeCell ref="X37:Z37"/>
    <mergeCell ref="F30:W30"/>
    <mergeCell ref="AA37:AG37"/>
    <mergeCell ref="A37:A43"/>
    <mergeCell ref="AL54:AP57"/>
    <mergeCell ref="AR54:AV57"/>
    <mergeCell ref="AC55:AG56"/>
    <mergeCell ref="AC57:AG58"/>
    <mergeCell ref="V51:X51"/>
    <mergeCell ref="Z57:AB58"/>
    <mergeCell ref="V46:W48"/>
    <mergeCell ref="V52:X52"/>
    <mergeCell ref="Y52:AF52"/>
    <mergeCell ref="Z49:AE49"/>
    <mergeCell ref="B40:K40"/>
    <mergeCell ref="D30:E30"/>
    <mergeCell ref="H35:I35"/>
    <mergeCell ref="T38:V38"/>
    <mergeCell ref="B37:L37"/>
    <mergeCell ref="D29:E29"/>
    <mergeCell ref="AA29:AG30"/>
    <mergeCell ref="Y40:Y43"/>
    <mergeCell ref="Z41:AE41"/>
    <mergeCell ref="Q37:W37"/>
    <mergeCell ref="F33:L33"/>
    <mergeCell ref="M33:P33"/>
    <mergeCell ref="AA35:AG35"/>
    <mergeCell ref="X35:Z35"/>
    <mergeCell ref="R38:S38"/>
    <mergeCell ref="B31:L31"/>
    <mergeCell ref="B29:C30"/>
    <mergeCell ref="F29:W29"/>
    <mergeCell ref="J35:O35"/>
    <mergeCell ref="B91:C91"/>
    <mergeCell ref="B51:E52"/>
    <mergeCell ref="A55:A62"/>
    <mergeCell ref="B64:C66"/>
    <mergeCell ref="Q49:R49"/>
    <mergeCell ref="M38:O38"/>
    <mergeCell ref="R45:U45"/>
    <mergeCell ref="L42:N42"/>
    <mergeCell ref="C41:F41"/>
    <mergeCell ref="L41:N41"/>
    <mergeCell ref="R41:U41"/>
    <mergeCell ref="L47:N48"/>
    <mergeCell ref="O47:O48"/>
    <mergeCell ref="B41:B48"/>
    <mergeCell ref="D47:F48"/>
    <mergeCell ref="L44:N44"/>
    <mergeCell ref="L43:N43"/>
    <mergeCell ref="C42:F42"/>
    <mergeCell ref="C43:F43"/>
    <mergeCell ref="C44:F44"/>
    <mergeCell ref="C45:F45"/>
    <mergeCell ref="C47:C48"/>
    <mergeCell ref="G48:K48"/>
    <mergeCell ref="L45:N45"/>
    <mergeCell ref="G52:O52"/>
    <mergeCell ref="L46:N46"/>
    <mergeCell ref="S49:W49"/>
    <mergeCell ref="A44:A53"/>
    <mergeCell ref="D46:F46"/>
    <mergeCell ref="V41:W41"/>
    <mergeCell ref="V42:W42"/>
    <mergeCell ref="V43:W43"/>
    <mergeCell ref="V44:W44"/>
    <mergeCell ref="Q51:U52"/>
    <mergeCell ref="V45:W45"/>
    <mergeCell ref="G41:K41"/>
    <mergeCell ref="G42:K42"/>
    <mergeCell ref="G43:K43"/>
    <mergeCell ref="G44:K44"/>
    <mergeCell ref="G45:K45"/>
    <mergeCell ref="G46:K46"/>
    <mergeCell ref="G47:K47"/>
    <mergeCell ref="L49:N49"/>
    <mergeCell ref="B49:K49"/>
    <mergeCell ref="Q40:Q48"/>
    <mergeCell ref="G51:O51"/>
    <mergeCell ref="V40:W40"/>
    <mergeCell ref="L40:N40"/>
    <mergeCell ref="Y2:Z2"/>
    <mergeCell ref="W2:X2"/>
    <mergeCell ref="AF2:AG2"/>
    <mergeCell ref="X3:AA3"/>
    <mergeCell ref="AB3:AG3"/>
    <mergeCell ref="X19:Z19"/>
    <mergeCell ref="X20:Z20"/>
    <mergeCell ref="X21:Z23"/>
    <mergeCell ref="AA15:AG15"/>
    <mergeCell ref="Y5:Z6"/>
    <mergeCell ref="Y4:Z4"/>
    <mergeCell ref="X15:Z15"/>
    <mergeCell ref="X8:Z8"/>
    <mergeCell ref="X9:Z9"/>
    <mergeCell ref="AD4:AE4"/>
    <mergeCell ref="AA8:AG8"/>
    <mergeCell ref="X13:Z13"/>
    <mergeCell ref="AA13:AG13"/>
    <mergeCell ref="AD5:AE6"/>
    <mergeCell ref="AB4:AC4"/>
    <mergeCell ref="AB5:AC6"/>
    <mergeCell ref="AA19:AG19"/>
    <mergeCell ref="AF4:AG4"/>
    <mergeCell ref="AF5:AG6"/>
    <mergeCell ref="A7:E7"/>
    <mergeCell ref="F7:L7"/>
    <mergeCell ref="B8:E8"/>
    <mergeCell ref="B13:E13"/>
    <mergeCell ref="B10:E10"/>
    <mergeCell ref="B9:E9"/>
    <mergeCell ref="F10:U10"/>
    <mergeCell ref="F8:L8"/>
    <mergeCell ref="AA10:AG10"/>
    <mergeCell ref="Q8:W8"/>
    <mergeCell ref="M8:P8"/>
    <mergeCell ref="F13:L13"/>
    <mergeCell ref="AA11:AG11"/>
    <mergeCell ref="AA9:AG9"/>
    <mergeCell ref="F9:W9"/>
    <mergeCell ref="X10:Z10"/>
    <mergeCell ref="Q13:R13"/>
    <mergeCell ref="B12:AG12"/>
    <mergeCell ref="M13:P13"/>
    <mergeCell ref="A8:A13"/>
    <mergeCell ref="F11:U11"/>
    <mergeCell ref="X11:Z11"/>
    <mergeCell ref="V10:W11"/>
    <mergeCell ref="B11:E11"/>
    <mergeCell ref="AR40:BH42"/>
    <mergeCell ref="AR44:BH46"/>
    <mergeCell ref="AR48:BH50"/>
    <mergeCell ref="Z61:AB62"/>
    <mergeCell ref="R42:U42"/>
    <mergeCell ref="R43:U43"/>
    <mergeCell ref="R44:U44"/>
    <mergeCell ref="Y51:AF51"/>
    <mergeCell ref="Z42:AF42"/>
    <mergeCell ref="Z43:AE43"/>
    <mergeCell ref="AC61:AG62"/>
    <mergeCell ref="Y55:Y62"/>
    <mergeCell ref="Z55:AB56"/>
    <mergeCell ref="Y44:Z44"/>
    <mergeCell ref="AA44:AF44"/>
    <mergeCell ref="AC59:AG60"/>
    <mergeCell ref="R46:U48"/>
    <mergeCell ref="Z59:AB60"/>
    <mergeCell ref="Y46:Y47"/>
    <mergeCell ref="Y48:Y49"/>
    <mergeCell ref="Z40:AF40"/>
    <mergeCell ref="R40:U40"/>
    <mergeCell ref="AX54:BB57"/>
    <mergeCell ref="BD54:BH57"/>
    <mergeCell ref="F15:W15"/>
    <mergeCell ref="B15:E15"/>
    <mergeCell ref="B16:E16"/>
    <mergeCell ref="B17:E17"/>
    <mergeCell ref="D20:E20"/>
    <mergeCell ref="D19:E19"/>
    <mergeCell ref="Q20:R20"/>
    <mergeCell ref="T20:U20"/>
    <mergeCell ref="F27:W27"/>
    <mergeCell ref="D26:E26"/>
    <mergeCell ref="D27:E27"/>
    <mergeCell ref="P17:Q17"/>
    <mergeCell ref="T26:U26"/>
    <mergeCell ref="P19:Q19"/>
    <mergeCell ref="F16:W16"/>
    <mergeCell ref="B19:C23"/>
    <mergeCell ref="M20:P20"/>
    <mergeCell ref="D21:E21"/>
    <mergeCell ref="D23:E23"/>
    <mergeCell ref="F26:H26"/>
    <mergeCell ref="J26:L26"/>
    <mergeCell ref="D25:E25"/>
    <mergeCell ref="D24:E24"/>
    <mergeCell ref="Q26:R26"/>
    <mergeCell ref="A64:A91"/>
    <mergeCell ref="AA21:AG23"/>
    <mergeCell ref="AA26:AG28"/>
    <mergeCell ref="AN17:AP18"/>
    <mergeCell ref="AQ17:AW18"/>
    <mergeCell ref="A19:A31"/>
    <mergeCell ref="AC31:AG31"/>
    <mergeCell ref="AN19:AP19"/>
    <mergeCell ref="AQ19:AW19"/>
    <mergeCell ref="X16:AG17"/>
    <mergeCell ref="AN16:BE16"/>
    <mergeCell ref="F28:W28"/>
    <mergeCell ref="X31:AA31"/>
    <mergeCell ref="AA25:AG25"/>
    <mergeCell ref="M31:P31"/>
    <mergeCell ref="X26:Z28"/>
    <mergeCell ref="X29:Z30"/>
    <mergeCell ref="R31:U31"/>
    <mergeCell ref="D28:E28"/>
    <mergeCell ref="AA20:AG20"/>
    <mergeCell ref="D22:E22"/>
    <mergeCell ref="AR64:BH66"/>
    <mergeCell ref="Z47:AE47"/>
    <mergeCell ref="AR60:BH62"/>
  </mergeCells>
  <phoneticPr fontId="1"/>
  <conditionalFormatting sqref="Q8 F13 T13 V13 F19 H19 K19 O19 F24:F25 H24:H25 K24:K25 M24:M25 M31 S49 F8 AA15:AG15 AA11 O24:O25">
    <cfRule type="cellIs" dxfId="85" priority="210" operator="equal">
      <formula>""</formula>
    </cfRule>
  </conditionalFormatting>
  <conditionalFormatting sqref="AA13:AG13">
    <cfRule type="expression" dxfId="84" priority="191">
      <formula>$F$13="定年"</formula>
    </cfRule>
    <cfRule type="expression" dxfId="83" priority="192">
      <formula>AND($F$13="転籍",$AA$13="")</formula>
    </cfRule>
    <cfRule type="expression" dxfId="82" priority="196">
      <formula>$AA$13=""</formula>
    </cfRule>
  </conditionalFormatting>
  <conditionalFormatting sqref="Q37 AA37 AA35:AG35">
    <cfRule type="cellIs" dxfId="81" priority="175" operator="equal">
      <formula>""</formula>
    </cfRule>
  </conditionalFormatting>
  <conditionalFormatting sqref="J20">
    <cfRule type="cellIs" dxfId="80" priority="126" operator="equal">
      <formula>""</formula>
    </cfRule>
  </conditionalFormatting>
  <conditionalFormatting sqref="AB2">
    <cfRule type="cellIs" dxfId="79" priority="125" operator="equal">
      <formula>""</formula>
    </cfRule>
  </conditionalFormatting>
  <conditionalFormatting sqref="AD2">
    <cfRule type="cellIs" dxfId="78" priority="124" operator="equal">
      <formula>""</formula>
    </cfRule>
  </conditionalFormatting>
  <conditionalFormatting sqref="Q25">
    <cfRule type="cellIs" dxfId="77" priority="119" operator="equal">
      <formula>""</formula>
    </cfRule>
  </conditionalFormatting>
  <conditionalFormatting sqref="F10:U10">
    <cfRule type="expression" dxfId="76" priority="117">
      <formula>F10=""</formula>
    </cfRule>
  </conditionalFormatting>
  <conditionalFormatting sqref="F15 F29">
    <cfRule type="expression" dxfId="75" priority="115">
      <formula>F15=""</formula>
    </cfRule>
  </conditionalFormatting>
  <conditionalFormatting sqref="F29:W29">
    <cfRule type="expression" dxfId="74" priority="111">
      <formula>$F$29=""</formula>
    </cfRule>
  </conditionalFormatting>
  <conditionalFormatting sqref="F17 H17 K17 M17">
    <cfRule type="cellIs" dxfId="73" priority="107" operator="equal">
      <formula>""</formula>
    </cfRule>
  </conditionalFormatting>
  <conditionalFormatting sqref="O17">
    <cfRule type="cellIs" dxfId="72" priority="103" operator="equal">
      <formula>""</formula>
    </cfRule>
  </conditionalFormatting>
  <conditionalFormatting sqref="M31">
    <cfRule type="expression" dxfId="71" priority="102">
      <formula>$M$31=""</formula>
    </cfRule>
  </conditionalFormatting>
  <conditionalFormatting sqref="M31:P31">
    <cfRule type="expression" dxfId="70" priority="91">
      <formula>$M$31=""</formula>
    </cfRule>
  </conditionalFormatting>
  <conditionalFormatting sqref="O47">
    <cfRule type="expression" dxfId="69" priority="89">
      <formula>$C$46="課長またはGM"</formula>
    </cfRule>
  </conditionalFormatting>
  <conditionalFormatting sqref="AA25:AG25">
    <cfRule type="cellIs" dxfId="68" priority="87" operator="equal">
      <formula>""</formula>
    </cfRule>
  </conditionalFormatting>
  <conditionalFormatting sqref="Q26:R26 T26:U26 W26 F27:W28">
    <cfRule type="expression" priority="79">
      <formula>"**"</formula>
    </cfRule>
  </conditionalFormatting>
  <conditionalFormatting sqref="M19">
    <cfRule type="cellIs" dxfId="67" priority="66" operator="equal">
      <formula>""</formula>
    </cfRule>
  </conditionalFormatting>
  <conditionalFormatting sqref="S25">
    <cfRule type="cellIs" dxfId="66" priority="65" operator="equal">
      <formula>""</formula>
    </cfRule>
  </conditionalFormatting>
  <conditionalFormatting sqref="F35">
    <cfRule type="cellIs" dxfId="65" priority="64" operator="equal">
      <formula>""</formula>
    </cfRule>
  </conditionalFormatting>
  <conditionalFormatting sqref="J35">
    <cfRule type="cellIs" dxfId="64" priority="63" operator="equal">
      <formula>""</formula>
    </cfRule>
  </conditionalFormatting>
  <conditionalFormatting sqref="J35">
    <cfRule type="expression" dxfId="63" priority="62">
      <formula>$F$33="無し"</formula>
    </cfRule>
  </conditionalFormatting>
  <conditionalFormatting sqref="AA35">
    <cfRule type="cellIs" dxfId="62" priority="61" operator="equal">
      <formula>""</formula>
    </cfRule>
  </conditionalFormatting>
  <conditionalFormatting sqref="R35:W35">
    <cfRule type="expression" dxfId="61" priority="60">
      <formula>$R$33=""</formula>
    </cfRule>
  </conditionalFormatting>
  <conditionalFormatting sqref="R35:W35">
    <cfRule type="expression" dxfId="60" priority="59">
      <formula>$F$33="無し"</formula>
    </cfRule>
  </conditionalFormatting>
  <conditionalFormatting sqref="Q33">
    <cfRule type="cellIs" dxfId="59" priority="58" operator="equal">
      <formula>""</formula>
    </cfRule>
  </conditionalFormatting>
  <conditionalFormatting sqref="F33">
    <cfRule type="cellIs" dxfId="58" priority="57" operator="equal">
      <formula>""</formula>
    </cfRule>
  </conditionalFormatting>
  <conditionalFormatting sqref="F35:G35">
    <cfRule type="cellIs" priority="56" operator="equal">
      <formula>$F$35="無し"</formula>
    </cfRule>
  </conditionalFormatting>
  <conditionalFormatting sqref="Q37:W37 AA37:AG37 J35:O35 R35:W35 AA35:AG35 B38:L38">
    <cfRule type="cellIs" dxfId="57" priority="55" operator="notEqual">
      <formula>$F$35="無し"</formula>
    </cfRule>
  </conditionalFormatting>
  <conditionalFormatting sqref="F21 F10 F15 F29">
    <cfRule type="expression" dxfId="56" priority="48">
      <formula>F10=""</formula>
    </cfRule>
  </conditionalFormatting>
  <conditionalFormatting sqref="AA44">
    <cfRule type="cellIs" dxfId="55" priority="47" operator="equal">
      <formula>""</formula>
    </cfRule>
  </conditionalFormatting>
  <conditionalFormatting sqref="F21:W21">
    <cfRule type="expression" dxfId="54" priority="46">
      <formula>$F$21=""</formula>
    </cfRule>
  </conditionalFormatting>
  <conditionalFormatting sqref="AA19:AG19">
    <cfRule type="cellIs" dxfId="53" priority="40" operator="equal">
      <formula>""</formula>
    </cfRule>
  </conditionalFormatting>
  <conditionalFormatting sqref="AQ19">
    <cfRule type="cellIs" dxfId="52" priority="37" operator="equal">
      <formula>""</formula>
    </cfRule>
  </conditionalFormatting>
  <conditionalFormatting sqref="F16:W16">
    <cfRule type="cellIs" dxfId="51" priority="35" operator="equal">
      <formula>""</formula>
    </cfRule>
  </conditionalFormatting>
  <conditionalFormatting sqref="F20:H20">
    <cfRule type="cellIs" dxfId="50" priority="34" operator="equal">
      <formula>""</formula>
    </cfRule>
  </conditionalFormatting>
  <conditionalFormatting sqref="F22:W22">
    <cfRule type="cellIs" dxfId="49" priority="33" operator="equal">
      <formula>""</formula>
    </cfRule>
  </conditionalFormatting>
  <conditionalFormatting sqref="F23:W23">
    <cfRule type="cellIs" dxfId="48" priority="32" operator="equal">
      <formula>""</formula>
    </cfRule>
  </conditionalFormatting>
  <conditionalFormatting sqref="Q20:R20">
    <cfRule type="cellIs" dxfId="47" priority="31" operator="equal">
      <formula>""</formula>
    </cfRule>
  </conditionalFormatting>
  <conditionalFormatting sqref="T20:U20">
    <cfRule type="cellIs" dxfId="46" priority="30" operator="equal">
      <formula>""</formula>
    </cfRule>
  </conditionalFormatting>
  <conditionalFormatting sqref="W20">
    <cfRule type="cellIs" dxfId="45" priority="29" operator="equal">
      <formula>""</formula>
    </cfRule>
  </conditionalFormatting>
  <conditionalFormatting sqref="F9:W9">
    <cfRule type="cellIs" dxfId="44" priority="28" operator="equal">
      <formula>""</formula>
    </cfRule>
  </conditionalFormatting>
  <conditionalFormatting sqref="AA8:AG8">
    <cfRule type="cellIs" dxfId="43" priority="27" operator="equal">
      <formula>""</formula>
    </cfRule>
  </conditionalFormatting>
  <conditionalFormatting sqref="AA9:AG9">
    <cfRule type="cellIs" dxfId="42" priority="26" operator="equal">
      <formula>""</formula>
    </cfRule>
  </conditionalFormatting>
  <conditionalFormatting sqref="AA10:AG10">
    <cfRule type="cellIs" dxfId="41" priority="25" operator="equal">
      <formula>""</formula>
    </cfRule>
  </conditionalFormatting>
  <conditionalFormatting sqref="Q13:R13">
    <cfRule type="cellIs" dxfId="40" priority="24" operator="equal">
      <formula>""</formula>
    </cfRule>
  </conditionalFormatting>
  <conditionalFormatting sqref="F30:W30">
    <cfRule type="cellIs" dxfId="39" priority="23" operator="equal">
      <formula>""</formula>
    </cfRule>
  </conditionalFormatting>
  <conditionalFormatting sqref="AA29:AG30">
    <cfRule type="cellIs" dxfId="38" priority="22" operator="equal">
      <formula>""</formula>
    </cfRule>
  </conditionalFormatting>
  <conditionalFormatting sqref="R31:U31">
    <cfRule type="cellIs" dxfId="37" priority="21" operator="equal">
      <formula>""</formula>
    </cfRule>
  </conditionalFormatting>
  <conditionalFormatting sqref="X31:AA31">
    <cfRule type="cellIs" dxfId="36" priority="20" operator="equal">
      <formula>""</formula>
    </cfRule>
  </conditionalFormatting>
  <conditionalFormatting sqref="AC31:AG31">
    <cfRule type="cellIs" dxfId="35" priority="19" operator="equal">
      <formula>""</formula>
    </cfRule>
  </conditionalFormatting>
  <conditionalFormatting sqref="AA20:AG20">
    <cfRule type="cellIs" dxfId="34" priority="10" operator="equal">
      <formula>""</formula>
    </cfRule>
  </conditionalFormatting>
  <conditionalFormatting sqref="F11:U11">
    <cfRule type="cellIs" dxfId="33" priority="6" operator="equal">
      <formula>""</formula>
    </cfRule>
  </conditionalFormatting>
  <conditionalFormatting sqref="Y2:Z2">
    <cfRule type="cellIs" dxfId="32" priority="5" operator="equal">
      <formula>""</formula>
    </cfRule>
  </conditionalFormatting>
  <conditionalFormatting sqref="AA21:AG21">
    <cfRule type="cellIs" dxfId="31" priority="4" operator="equal">
      <formula>""</formula>
    </cfRule>
  </conditionalFormatting>
  <conditionalFormatting sqref="AA26:AG26">
    <cfRule type="cellIs" dxfId="30" priority="3" operator="equal">
      <formula>""</formula>
    </cfRule>
  </conditionalFormatting>
  <conditionalFormatting sqref="AQ17:AW18">
    <cfRule type="cellIs" dxfId="29" priority="2" operator="equal">
      <formula>""</formula>
    </cfRule>
  </conditionalFormatting>
  <dataValidations xWindow="822" yWindow="395" count="2">
    <dataValidation imeMode="fullKatakana" allowBlank="1" showInputMessage="1" showErrorMessage="1" sqref="F27:W27 F29:W29 F15:W15 F21:W21 F10:U10" xr:uid="{00000000-0002-0000-0000-000000000000}"/>
    <dataValidation type="list" allowBlank="1" showInputMessage="1" showErrorMessage="1" sqref="T50:W50" xr:uid="{00000000-0002-0000-0000-000001000000}">
      <formula1>$D$20:$D$21</formula1>
    </dataValidation>
  </dataValidations>
  <hyperlinks>
    <hyperlink ref="H68" r:id="rId1" xr:uid="{00000000-0004-0000-0000-000001000000}"/>
  </hyperlinks>
  <printOptions horizontalCentered="1"/>
  <pageMargins left="0" right="0" top="0" bottom="0" header="0" footer="0"/>
  <pageSetup paperSize="9" scale="29" orientation="portrait" r:id="rId2"/>
  <rowBreaks count="1" manualBreakCount="1">
    <brk id="62" max="16383" man="1"/>
  </rowBreaks>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PSCと秘書部へのメール作成">
                <anchor moveWithCells="1" sizeWithCells="1">
                  <from>
                    <xdr:col>37</xdr:col>
                    <xdr:colOff>57150</xdr:colOff>
                    <xdr:row>39</xdr:row>
                    <xdr:rowOff>57150</xdr:rowOff>
                  </from>
                  <to>
                    <xdr:col>42</xdr:col>
                    <xdr:colOff>142875</xdr:colOff>
                    <xdr:row>41</xdr:row>
                    <xdr:rowOff>209550</xdr:rowOff>
                  </to>
                </anchor>
              </controlPr>
            </control>
          </mc:Choice>
        </mc:AlternateContent>
        <mc:AlternateContent xmlns:mc="http://schemas.openxmlformats.org/markup-compatibility/2006">
          <mc:Choice Requires="x14">
            <control shapeId="1028" r:id="rId6" name="Button 4">
              <controlPr defaultSize="0" print="0" autoFill="0" autoPict="0" macro="[0]!TPSCへのメール作成">
                <anchor moveWithCells="1" sizeWithCells="1">
                  <from>
                    <xdr:col>37</xdr:col>
                    <xdr:colOff>57150</xdr:colOff>
                    <xdr:row>43</xdr:row>
                    <xdr:rowOff>57150</xdr:rowOff>
                  </from>
                  <to>
                    <xdr:col>42</xdr:col>
                    <xdr:colOff>142875</xdr:colOff>
                    <xdr:row>45</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部内展開用のメール作成">
                <anchor moveWithCells="1" sizeWithCells="1">
                  <from>
                    <xdr:col>37</xdr:col>
                    <xdr:colOff>57150</xdr:colOff>
                    <xdr:row>47</xdr:row>
                    <xdr:rowOff>66675</xdr:rowOff>
                  </from>
                  <to>
                    <xdr:col>42</xdr:col>
                    <xdr:colOff>142875</xdr:colOff>
                    <xdr:row>49</xdr:row>
                    <xdr:rowOff>123825</xdr:rowOff>
                  </to>
                </anchor>
              </controlPr>
            </control>
          </mc:Choice>
        </mc:AlternateContent>
        <mc:AlternateContent xmlns:mc="http://schemas.openxmlformats.org/markup-compatibility/2006">
          <mc:Choice Requires="x14">
            <control shapeId="1039" r:id="rId8" name="Check Box 15">
              <controlPr defaultSize="0" autoFill="0" autoLine="0" autoPict="0" macro="[0]!チェック15_Click">
                <anchor moveWithCells="1">
                  <from>
                    <xdr:col>1</xdr:col>
                    <xdr:colOff>19050</xdr:colOff>
                    <xdr:row>25</xdr:row>
                    <xdr:rowOff>161925</xdr:rowOff>
                  </from>
                  <to>
                    <xdr:col>3</xdr:col>
                    <xdr:colOff>28575</xdr:colOff>
                    <xdr:row>26</xdr:row>
                    <xdr:rowOff>247650</xdr:rowOff>
                  </to>
                </anchor>
              </controlPr>
            </control>
          </mc:Choice>
        </mc:AlternateContent>
        <mc:AlternateContent xmlns:mc="http://schemas.openxmlformats.org/markup-compatibility/2006">
          <mc:Choice Requires="x14">
            <control shapeId="1047" r:id="rId9" name="Check Box 23">
              <controlPr defaultSize="0" autoFill="0" autoLine="0" autoPict="0">
                <anchor moveWithCells="1">
                  <from>
                    <xdr:col>1</xdr:col>
                    <xdr:colOff>38100</xdr:colOff>
                    <xdr:row>55</xdr:row>
                    <xdr:rowOff>19050</xdr:rowOff>
                  </from>
                  <to>
                    <xdr:col>2</xdr:col>
                    <xdr:colOff>0</xdr:colOff>
                    <xdr:row>55</xdr:row>
                    <xdr:rowOff>161925</xdr:rowOff>
                  </to>
                </anchor>
              </controlPr>
            </control>
          </mc:Choice>
        </mc:AlternateContent>
        <mc:AlternateContent xmlns:mc="http://schemas.openxmlformats.org/markup-compatibility/2006">
          <mc:Choice Requires="x14">
            <control shapeId="1048" r:id="rId10" name="Check Box 24">
              <controlPr defaultSize="0" autoFill="0" autoLine="0" autoPict="0">
                <anchor moveWithCells="1">
                  <from>
                    <xdr:col>1</xdr:col>
                    <xdr:colOff>38100</xdr:colOff>
                    <xdr:row>56</xdr:row>
                    <xdr:rowOff>19050</xdr:rowOff>
                  </from>
                  <to>
                    <xdr:col>2</xdr:col>
                    <xdr:colOff>0</xdr:colOff>
                    <xdr:row>56</xdr:row>
                    <xdr:rowOff>161925</xdr:rowOff>
                  </to>
                </anchor>
              </controlPr>
            </control>
          </mc:Choice>
        </mc:AlternateContent>
        <mc:AlternateContent xmlns:mc="http://schemas.openxmlformats.org/markup-compatibility/2006">
          <mc:Choice Requires="x14">
            <control shapeId="1049" r:id="rId11" name="Check Box 25">
              <controlPr defaultSize="0" autoFill="0" autoLine="0" autoPict="0">
                <anchor moveWithCells="1">
                  <from>
                    <xdr:col>2</xdr:col>
                    <xdr:colOff>38100</xdr:colOff>
                    <xdr:row>55</xdr:row>
                    <xdr:rowOff>19050</xdr:rowOff>
                  </from>
                  <to>
                    <xdr:col>3</xdr:col>
                    <xdr:colOff>9525</xdr:colOff>
                    <xdr:row>55</xdr:row>
                    <xdr:rowOff>161925</xdr:rowOff>
                  </to>
                </anchor>
              </controlPr>
            </control>
          </mc:Choice>
        </mc:AlternateContent>
        <mc:AlternateContent xmlns:mc="http://schemas.openxmlformats.org/markup-compatibility/2006">
          <mc:Choice Requires="x14">
            <control shapeId="1050" r:id="rId12" name="Check Box 26">
              <controlPr defaultSize="0" autoFill="0" autoLine="0" autoPict="0">
                <anchor moveWithCells="1">
                  <from>
                    <xdr:col>2</xdr:col>
                    <xdr:colOff>38100</xdr:colOff>
                    <xdr:row>56</xdr:row>
                    <xdr:rowOff>19050</xdr:rowOff>
                  </from>
                  <to>
                    <xdr:col>3</xdr:col>
                    <xdr:colOff>9525</xdr:colOff>
                    <xdr:row>56</xdr:row>
                    <xdr:rowOff>161925</xdr:rowOff>
                  </to>
                </anchor>
              </controlPr>
            </control>
          </mc:Choice>
        </mc:AlternateContent>
        <mc:AlternateContent xmlns:mc="http://schemas.openxmlformats.org/markup-compatibility/2006">
          <mc:Choice Requires="x14">
            <control shapeId="1051" r:id="rId13" name="Check Box 27">
              <controlPr defaultSize="0" autoFill="0" autoLine="0" autoPict="0">
                <anchor moveWithCells="1">
                  <from>
                    <xdr:col>2</xdr:col>
                    <xdr:colOff>38100</xdr:colOff>
                    <xdr:row>57</xdr:row>
                    <xdr:rowOff>19050</xdr:rowOff>
                  </from>
                  <to>
                    <xdr:col>3</xdr:col>
                    <xdr:colOff>9525</xdr:colOff>
                    <xdr:row>57</xdr:row>
                    <xdr:rowOff>161925</xdr:rowOff>
                  </to>
                </anchor>
              </controlPr>
            </control>
          </mc:Choice>
        </mc:AlternateContent>
        <mc:AlternateContent xmlns:mc="http://schemas.openxmlformats.org/markup-compatibility/2006">
          <mc:Choice Requires="x14">
            <control shapeId="1052" r:id="rId14" name="Check Box 28">
              <controlPr defaultSize="0" autoFill="0" autoLine="0" autoPict="0">
                <anchor moveWithCells="1">
                  <from>
                    <xdr:col>2</xdr:col>
                    <xdr:colOff>38100</xdr:colOff>
                    <xdr:row>58</xdr:row>
                    <xdr:rowOff>19050</xdr:rowOff>
                  </from>
                  <to>
                    <xdr:col>3</xdr:col>
                    <xdr:colOff>9525</xdr:colOff>
                    <xdr:row>58</xdr:row>
                    <xdr:rowOff>161925</xdr:rowOff>
                  </to>
                </anchor>
              </controlPr>
            </control>
          </mc:Choice>
        </mc:AlternateContent>
        <mc:AlternateContent xmlns:mc="http://schemas.openxmlformats.org/markup-compatibility/2006">
          <mc:Choice Requires="x14">
            <control shapeId="1053" r:id="rId15" name="Check Box 29">
              <controlPr defaultSize="0" autoFill="0" autoLine="0" autoPict="0">
                <anchor moveWithCells="1">
                  <from>
                    <xdr:col>1</xdr:col>
                    <xdr:colOff>38100</xdr:colOff>
                    <xdr:row>58</xdr:row>
                    <xdr:rowOff>19050</xdr:rowOff>
                  </from>
                  <to>
                    <xdr:col>2</xdr:col>
                    <xdr:colOff>0</xdr:colOff>
                    <xdr:row>58</xdr:row>
                    <xdr:rowOff>161925</xdr:rowOff>
                  </to>
                </anchor>
              </controlPr>
            </control>
          </mc:Choice>
        </mc:AlternateContent>
        <mc:AlternateContent xmlns:mc="http://schemas.openxmlformats.org/markup-compatibility/2006">
          <mc:Choice Requires="x14">
            <control shapeId="1054" r:id="rId16" name="Check Box 30">
              <controlPr defaultSize="0" autoFill="0" autoLine="0" autoPict="0">
                <anchor moveWithCells="1">
                  <from>
                    <xdr:col>1</xdr:col>
                    <xdr:colOff>38100</xdr:colOff>
                    <xdr:row>59</xdr:row>
                    <xdr:rowOff>19050</xdr:rowOff>
                  </from>
                  <to>
                    <xdr:col>2</xdr:col>
                    <xdr:colOff>0</xdr:colOff>
                    <xdr:row>59</xdr:row>
                    <xdr:rowOff>161925</xdr:rowOff>
                  </to>
                </anchor>
              </controlPr>
            </control>
          </mc:Choice>
        </mc:AlternateContent>
        <mc:AlternateContent xmlns:mc="http://schemas.openxmlformats.org/markup-compatibility/2006">
          <mc:Choice Requires="x14">
            <control shapeId="1055" r:id="rId17" name="Check Box 31">
              <controlPr defaultSize="0" autoFill="0" autoLine="0" autoPict="0">
                <anchor moveWithCells="1">
                  <from>
                    <xdr:col>2</xdr:col>
                    <xdr:colOff>38100</xdr:colOff>
                    <xdr:row>59</xdr:row>
                    <xdr:rowOff>19050</xdr:rowOff>
                  </from>
                  <to>
                    <xdr:col>3</xdr:col>
                    <xdr:colOff>9525</xdr:colOff>
                    <xdr:row>59</xdr:row>
                    <xdr:rowOff>161925</xdr:rowOff>
                  </to>
                </anchor>
              </controlPr>
            </control>
          </mc:Choice>
        </mc:AlternateContent>
        <mc:AlternateContent xmlns:mc="http://schemas.openxmlformats.org/markup-compatibility/2006">
          <mc:Choice Requires="x14">
            <control shapeId="1056" r:id="rId18" name="Check Box 32">
              <controlPr defaultSize="0" autoFill="0" autoLine="0" autoPict="0">
                <anchor moveWithCells="1">
                  <from>
                    <xdr:col>2</xdr:col>
                    <xdr:colOff>38100</xdr:colOff>
                    <xdr:row>60</xdr:row>
                    <xdr:rowOff>19050</xdr:rowOff>
                  </from>
                  <to>
                    <xdr:col>3</xdr:col>
                    <xdr:colOff>9525</xdr:colOff>
                    <xdr:row>60</xdr:row>
                    <xdr:rowOff>161925</xdr:rowOff>
                  </to>
                </anchor>
              </controlPr>
            </control>
          </mc:Choice>
        </mc:AlternateContent>
        <mc:AlternateContent xmlns:mc="http://schemas.openxmlformats.org/markup-compatibility/2006">
          <mc:Choice Requires="x14">
            <control shapeId="1057" r:id="rId19" name="Check Box 33">
              <controlPr defaultSize="0" autoFill="0" autoLine="0" autoPict="0">
                <anchor moveWithCells="1">
                  <from>
                    <xdr:col>1</xdr:col>
                    <xdr:colOff>38100</xdr:colOff>
                    <xdr:row>61</xdr:row>
                    <xdr:rowOff>19050</xdr:rowOff>
                  </from>
                  <to>
                    <xdr:col>2</xdr:col>
                    <xdr:colOff>0</xdr:colOff>
                    <xdr:row>62</xdr:row>
                    <xdr:rowOff>0</xdr:rowOff>
                  </to>
                </anchor>
              </controlPr>
            </control>
          </mc:Choice>
        </mc:AlternateContent>
        <mc:AlternateContent xmlns:mc="http://schemas.openxmlformats.org/markup-compatibility/2006">
          <mc:Choice Requires="x14">
            <control shapeId="1067" r:id="rId20" name="Check Box 43">
              <controlPr defaultSize="0" autoFill="0" autoLine="0" autoPict="0">
                <anchor moveWithCells="1">
                  <from>
                    <xdr:col>12</xdr:col>
                    <xdr:colOff>7170</xdr:colOff>
                    <xdr:row>36</xdr:row>
                    <xdr:rowOff>247378</xdr:rowOff>
                  </from>
                  <to>
                    <xdr:col>14</xdr:col>
                    <xdr:colOff>28907</xdr:colOff>
                    <xdr:row>37</xdr:row>
                    <xdr:rowOff>245235</xdr:rowOff>
                  </to>
                </anchor>
              </controlPr>
            </control>
          </mc:Choice>
        </mc:AlternateContent>
        <mc:AlternateContent xmlns:mc="http://schemas.openxmlformats.org/markup-compatibility/2006">
          <mc:Choice Requires="x14">
            <control shapeId="1068" r:id="rId21" name="Check Box 44">
              <controlPr defaultSize="0" autoFill="0" autoLine="0" autoPict="0">
                <anchor moveWithCells="1">
                  <from>
                    <xdr:col>14</xdr:col>
                    <xdr:colOff>119757</xdr:colOff>
                    <xdr:row>37</xdr:row>
                    <xdr:rowOff>298</xdr:rowOff>
                  </from>
                  <to>
                    <xdr:col>16</xdr:col>
                    <xdr:colOff>298809</xdr:colOff>
                    <xdr:row>37</xdr:row>
                    <xdr:rowOff>244666</xdr:rowOff>
                  </to>
                </anchor>
              </controlPr>
            </control>
          </mc:Choice>
        </mc:AlternateContent>
        <mc:AlternateContent xmlns:mc="http://schemas.openxmlformats.org/markup-compatibility/2006">
          <mc:Choice Requires="x14">
            <control shapeId="1069" r:id="rId22" name="Check Box 45">
              <controlPr defaultSize="0" autoFill="0" autoLine="0" autoPict="0">
                <anchor moveWithCells="1">
                  <from>
                    <xdr:col>17</xdr:col>
                    <xdr:colOff>82277</xdr:colOff>
                    <xdr:row>37</xdr:row>
                    <xdr:rowOff>298</xdr:rowOff>
                  </from>
                  <to>
                    <xdr:col>19</xdr:col>
                    <xdr:colOff>150003</xdr:colOff>
                    <xdr:row>37</xdr:row>
                    <xdr:rowOff>244666</xdr:rowOff>
                  </to>
                </anchor>
              </controlPr>
            </control>
          </mc:Choice>
        </mc:AlternateContent>
        <mc:AlternateContent xmlns:mc="http://schemas.openxmlformats.org/markup-compatibility/2006">
          <mc:Choice Requires="x14">
            <control shapeId="1070" r:id="rId23" name="Check Box 46">
              <controlPr defaultSize="0" autoFill="0" autoLine="0" autoPict="0">
                <anchor moveWithCells="1">
                  <from>
                    <xdr:col>19</xdr:col>
                    <xdr:colOff>230949</xdr:colOff>
                    <xdr:row>36</xdr:row>
                    <xdr:rowOff>242888</xdr:rowOff>
                  </from>
                  <to>
                    <xdr:col>21</xdr:col>
                    <xdr:colOff>206229</xdr:colOff>
                    <xdr:row>38</xdr:row>
                    <xdr:rowOff>4877</xdr:rowOff>
                  </to>
                </anchor>
              </controlPr>
            </control>
          </mc:Choice>
        </mc:AlternateContent>
        <mc:AlternateContent xmlns:mc="http://schemas.openxmlformats.org/markup-compatibility/2006">
          <mc:Choice Requires="x14">
            <control shapeId="1072" r:id="rId24" name="Button 48">
              <controlPr defaultSize="0" print="0" autoFill="0" autoPict="0" macro="[0]!■最終チェックまで印刷">
                <anchor moveWithCells="1" sizeWithCells="1">
                  <from>
                    <xdr:col>37</xdr:col>
                    <xdr:colOff>57150</xdr:colOff>
                    <xdr:row>59</xdr:row>
                    <xdr:rowOff>28575</xdr:rowOff>
                  </from>
                  <to>
                    <xdr:col>42</xdr:col>
                    <xdr:colOff>142875</xdr:colOff>
                    <xdr:row>61</xdr:row>
                    <xdr:rowOff>161925</xdr:rowOff>
                  </to>
                </anchor>
              </controlPr>
            </control>
          </mc:Choice>
        </mc:AlternateContent>
        <mc:AlternateContent xmlns:mc="http://schemas.openxmlformats.org/markup-compatibility/2006">
          <mc:Choice Requires="x14">
            <control shapeId="1073" r:id="rId25" name="Button 49">
              <controlPr defaultSize="0" print="0" autoFill="0" autoPict="0" macro="[0]!■お通夜葬儀情報まで印刷">
                <anchor moveWithCells="1" sizeWithCells="1">
                  <from>
                    <xdr:col>37</xdr:col>
                    <xdr:colOff>57150</xdr:colOff>
                    <xdr:row>63</xdr:row>
                    <xdr:rowOff>28575</xdr:rowOff>
                  </from>
                  <to>
                    <xdr:col>42</xdr:col>
                    <xdr:colOff>142875</xdr:colOff>
                    <xdr:row>65</xdr:row>
                    <xdr:rowOff>161925</xdr:rowOff>
                  </to>
                </anchor>
              </controlPr>
            </control>
          </mc:Choice>
        </mc:AlternateContent>
        <mc:AlternateContent xmlns:mc="http://schemas.openxmlformats.org/markup-compatibility/2006">
          <mc:Choice Requires="x14">
            <control shapeId="1100" r:id="rId26" name="Check Box 76">
              <controlPr defaultSize="0" autoFill="0" autoLine="0" autoPict="0" macro="[0]!チェック76__Click">
                <anchor moveWithCells="1">
                  <from>
                    <xdr:col>2</xdr:col>
                    <xdr:colOff>47625</xdr:colOff>
                    <xdr:row>46</xdr:row>
                    <xdr:rowOff>76200</xdr:rowOff>
                  </from>
                  <to>
                    <xdr:col>5</xdr:col>
                    <xdr:colOff>57150</xdr:colOff>
                    <xdr:row>47</xdr:row>
                    <xdr:rowOff>133350</xdr:rowOff>
                  </to>
                </anchor>
              </controlPr>
            </control>
          </mc:Choice>
        </mc:AlternateContent>
        <mc:AlternateContent xmlns:mc="http://schemas.openxmlformats.org/markup-compatibility/2006">
          <mc:Choice Requires="x14">
            <control shapeId="1102" r:id="rId27" name="Button 78">
              <controlPr defaultSize="0" print="0" autoFill="0" autoPict="0" macro="[0]!供花_家族">
                <anchor moveWithCells="1" sizeWithCells="1">
                  <from>
                    <xdr:col>37</xdr:col>
                    <xdr:colOff>57150</xdr:colOff>
                    <xdr:row>53</xdr:row>
                    <xdr:rowOff>47625</xdr:rowOff>
                  </from>
                  <to>
                    <xdr:col>41</xdr:col>
                    <xdr:colOff>209550</xdr:colOff>
                    <xdr:row>56</xdr:row>
                    <xdr:rowOff>133350</xdr:rowOff>
                  </to>
                </anchor>
              </controlPr>
            </control>
          </mc:Choice>
        </mc:AlternateContent>
        <mc:AlternateContent xmlns:mc="http://schemas.openxmlformats.org/markup-compatibility/2006">
          <mc:Choice Requires="x14">
            <control shapeId="1103" r:id="rId28" name="Button 79">
              <controlPr defaultSize="0" print="0" autoFill="0" autoPict="0" macro="[0]!供花_本人">
                <anchor moveWithCells="1" sizeWithCells="1">
                  <from>
                    <xdr:col>43</xdr:col>
                    <xdr:colOff>66675</xdr:colOff>
                    <xdr:row>54</xdr:row>
                    <xdr:rowOff>9525</xdr:rowOff>
                  </from>
                  <to>
                    <xdr:col>47</xdr:col>
                    <xdr:colOff>219075</xdr:colOff>
                    <xdr:row>56</xdr:row>
                    <xdr:rowOff>133350</xdr:rowOff>
                  </to>
                </anchor>
              </controlPr>
            </control>
          </mc:Choice>
        </mc:AlternateContent>
        <mc:AlternateContent xmlns:mc="http://schemas.openxmlformats.org/markup-compatibility/2006">
          <mc:Choice Requires="x14">
            <control shapeId="1106" r:id="rId29" name="Button 82">
              <controlPr defaultSize="0" print="0" autoFill="0" autoPict="0" macro="[0]!電報_メグリア">
                <anchor moveWithCells="1" sizeWithCells="1">
                  <from>
                    <xdr:col>49</xdr:col>
                    <xdr:colOff>161925</xdr:colOff>
                    <xdr:row>54</xdr:row>
                    <xdr:rowOff>0</xdr:rowOff>
                  </from>
                  <to>
                    <xdr:col>54</xdr:col>
                    <xdr:colOff>66675</xdr:colOff>
                    <xdr:row>56</xdr:row>
                    <xdr:rowOff>123825</xdr:rowOff>
                  </to>
                </anchor>
              </controlPr>
            </control>
          </mc:Choice>
        </mc:AlternateContent>
        <mc:AlternateContent xmlns:mc="http://schemas.openxmlformats.org/markup-compatibility/2006">
          <mc:Choice Requires="x14">
            <control shapeId="1107" r:id="rId30" name="Button 83">
              <controlPr defaultSize="0" print="0" autoFill="0" autoPict="0" macro="[0]!電報_DMAIL">
                <anchor moveWithCells="1" sizeWithCells="1">
                  <from>
                    <xdr:col>55</xdr:col>
                    <xdr:colOff>9525</xdr:colOff>
                    <xdr:row>53</xdr:row>
                    <xdr:rowOff>28575</xdr:rowOff>
                  </from>
                  <to>
                    <xdr:col>59</xdr:col>
                    <xdr:colOff>161925</xdr:colOff>
                    <xdr:row>56</xdr:row>
                    <xdr:rowOff>114300</xdr:rowOff>
                  </to>
                </anchor>
              </controlPr>
            </control>
          </mc:Choice>
        </mc:AlternateContent>
        <mc:AlternateContent xmlns:mc="http://schemas.openxmlformats.org/markup-compatibility/2006">
          <mc:Choice Requires="x14">
            <control shapeId="1112" r:id="rId31" name="Check Box 88">
              <controlPr defaultSize="0" autoFill="0" autoLine="0" autoPict="0">
                <anchor moveWithCells="1">
                  <from>
                    <xdr:col>2</xdr:col>
                    <xdr:colOff>38100</xdr:colOff>
                    <xdr:row>59</xdr:row>
                    <xdr:rowOff>19050</xdr:rowOff>
                  </from>
                  <to>
                    <xdr:col>3</xdr:col>
                    <xdr:colOff>9525</xdr:colOff>
                    <xdr:row>59</xdr:row>
                    <xdr:rowOff>161925</xdr:rowOff>
                  </to>
                </anchor>
              </controlPr>
            </control>
          </mc:Choice>
        </mc:AlternateContent>
        <mc:AlternateContent xmlns:mc="http://schemas.openxmlformats.org/markup-compatibility/2006">
          <mc:Choice Requires="x14">
            <control shapeId="1113" r:id="rId32" name="Check Box 89">
              <controlPr defaultSize="0" autoFill="0" autoLine="0" autoPict="0">
                <anchor moveWithCells="1">
                  <from>
                    <xdr:col>2</xdr:col>
                    <xdr:colOff>38100</xdr:colOff>
                    <xdr:row>60</xdr:row>
                    <xdr:rowOff>19050</xdr:rowOff>
                  </from>
                  <to>
                    <xdr:col>3</xdr:col>
                    <xdr:colOff>9525</xdr:colOff>
                    <xdr:row>60</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822" yWindow="395" count="19">
        <x14:dataValidation type="list" allowBlank="1" showInputMessage="1" showErrorMessage="1" xr:uid="{00000000-0002-0000-0000-000002000000}">
          <x14:formula1>
            <xm:f>プルダウンリスト!$H$13:$H$22</xm:f>
          </x14:formula1>
          <xm:sqref>Q25 M24:M25</xm:sqref>
        </x14:dataValidation>
        <x14:dataValidation type="list" allowBlank="1" showInputMessage="1" showErrorMessage="1" xr:uid="{00000000-0002-0000-0000-000003000000}">
          <x14:formula1>
            <xm:f>プルダウンリスト!$B$5:$B$6</xm:f>
          </x14:formula1>
          <xm:sqref>Q8:W8</xm:sqref>
        </x14:dataValidation>
        <x14:dataValidation type="list" allowBlank="1" showInputMessage="1" showErrorMessage="1" xr:uid="{00000000-0002-0000-0000-000004000000}">
          <x14:formula1>
            <xm:f>プルダウンリスト!$D$6:$D$13</xm:f>
          </x14:formula1>
          <xm:sqref>AA35:AG35</xm:sqref>
        </x14:dataValidation>
        <x14:dataValidation type="list" allowBlank="1" showInputMessage="1" showErrorMessage="1" xr:uid="{00000000-0002-0000-0000-000005000000}">
          <x14:formula1>
            <xm:f>プルダウンリスト!$D$16:$D$17</xm:f>
          </x14:formula1>
          <xm:sqref>F13:L13</xm:sqref>
        </x14:dataValidation>
        <x14:dataValidation type="list" allowBlank="1" showInputMessage="1" showErrorMessage="1" xr:uid="{00000000-0002-0000-0000-000006000000}">
          <x14:formula1>
            <xm:f>プルダウンリスト!$F$5:$F$16</xm:f>
          </x14:formula1>
          <xm:sqref>T13 F24:F25 F19 AB2 F17</xm:sqref>
        </x14:dataValidation>
        <x14:dataValidation type="list" allowBlank="1" showInputMessage="1" showErrorMessage="1" xr:uid="{00000000-0002-0000-0000-000007000000}">
          <x14:formula1>
            <xm:f>プルダウンリスト!$G$5:$G$35</xm:f>
          </x14:formula1>
          <xm:sqref>V13 H19 H24:H25 AD2 H17</xm:sqref>
        </x14:dataValidation>
        <x14:dataValidation type="list" allowBlank="1" showInputMessage="1" showErrorMessage="1" xr:uid="{00000000-0002-0000-0000-000008000000}">
          <x14:formula1>
            <xm:f>プルダウンリスト!$J$5:$J$11</xm:f>
          </x14:formula1>
          <xm:sqref>K24:K25 K19 K17</xm:sqref>
        </x14:dataValidation>
        <x14:dataValidation type="list" allowBlank="1" showInputMessage="1" showErrorMessage="1" xr:uid="{00000000-0002-0000-0000-000009000000}">
          <x14:formula1>
            <xm:f>プルダウンリスト!$L$5:$L$7</xm:f>
          </x14:formula1>
          <xm:sqref>AA25:AG25 AA20:AG20</xm:sqref>
        </x14:dataValidation>
        <x14:dataValidation type="list" allowBlank="1" showInputMessage="1" showErrorMessage="1" xr:uid="{00000000-0002-0000-0000-00000A000000}">
          <x14:formula1>
            <xm:f>プルダウンリスト!$L$15:$L$16</xm:f>
          </x14:formula1>
          <xm:sqref>M31</xm:sqref>
        </x14:dataValidation>
        <x14:dataValidation type="list" allowBlank="1" showInputMessage="1" showErrorMessage="1" xr:uid="{00000000-0002-0000-0000-00000B000000}">
          <x14:formula1>
            <xm:f>プルダウンリスト!$L$19:$L$20</xm:f>
          </x14:formula1>
          <xm:sqref>F35</xm:sqref>
        </x14:dataValidation>
        <x14:dataValidation type="list" allowBlank="1" showInputMessage="1" showErrorMessage="1" xr:uid="{00000000-0002-0000-0000-00000C000000}">
          <x14:formula1>
            <xm:f>プルダウンリスト!$D$20:$D$21</xm:f>
          </x14:formula1>
          <xm:sqref>S49:S50 AA44</xm:sqref>
        </x14:dataValidation>
        <x14:dataValidation type="list" allowBlank="1" showInputMessage="1" showErrorMessage="1" xr:uid="{00000000-0002-0000-0000-00000E000000}">
          <x14:formula1>
            <xm:f>プルダウンリスト!$L$27:$L$28</xm:f>
          </x14:formula1>
          <xm:sqref>F33:L33</xm:sqref>
        </x14:dataValidation>
        <x14:dataValidation type="list" allowBlank="1" showInputMessage="1" showErrorMessage="1" xr:uid="{00000000-0002-0000-0000-00000F000000}">
          <x14:formula1>
            <xm:f>プルダウンリスト!$B$15:$B$19</xm:f>
          </x14:formula1>
          <xm:sqref>AA15:AG15</xm:sqref>
        </x14:dataValidation>
        <x14:dataValidation type="list" allowBlank="1" showInputMessage="1" showErrorMessage="1" xr:uid="{00000000-0002-0000-0000-000010000000}">
          <x14:formula1>
            <xm:f>プルダウンリスト!$B$9:$B$10</xm:f>
          </x14:formula1>
          <xm:sqref>F8:L8</xm:sqref>
        </x14:dataValidation>
        <x14:dataValidation type="list" allowBlank="1" showInputMessage="1" showErrorMessage="1" prompt="再雇用者は、定年時の資格を選択ください" xr:uid="{00000000-0002-0000-0000-000011000000}">
          <x14:formula1>
            <xm:f>プルダウンリスト!$D$5:$D$13</xm:f>
          </x14:formula1>
          <xm:sqref>AA11:AG11</xm:sqref>
        </x14:dataValidation>
        <x14:dataValidation type="list" allowBlank="1" showInputMessage="1" showErrorMessage="1" xr:uid="{00000000-0002-0000-0000-000012000000}">
          <x14:formula1>
            <xm:f>プルダウンリスト!$H$5:$H$28</xm:f>
          </x14:formula1>
          <xm:sqref>M17 M19</xm:sqref>
        </x14:dataValidation>
        <x14:dataValidation type="list" allowBlank="1" showInputMessage="1" xr:uid="{00000000-0002-0000-0000-000013000000}">
          <x14:formula1>
            <xm:f>プルダウンリスト!$I$5:$I$8</xm:f>
          </x14:formula1>
          <xm:sqref>O19 O24:O25 S25</xm:sqref>
        </x14:dataValidation>
        <x14:dataValidation type="list" allowBlank="1" showInputMessage="1" showErrorMessage="1" xr:uid="{00000000-0002-0000-0000-000014000000}">
          <x14:formula1>
            <xm:f>プルダウンリスト!$L$10:$L$12</xm:f>
          </x14:formula1>
          <xm:sqref>AA19:AG19</xm:sqref>
        </x14:dataValidation>
        <x14:dataValidation type="list" allowBlank="1" showInputMessage="1" showErrorMessage="1" xr:uid="{00000000-0002-0000-0000-000015000000}">
          <x14:formula1>
            <xm:f>プルダウンリスト!$B$23:$B$27</xm:f>
          </x14:formula1>
          <xm:sqref>AQ17:AW18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8"/>
  </sheetPr>
  <dimension ref="A1:BB51"/>
  <sheetViews>
    <sheetView showGridLines="0" topLeftCell="A32" zoomScaleNormal="100" zoomScaleSheetLayoutView="80" workbookViewId="0">
      <selection activeCell="K47" sqref="K47:AJ47"/>
    </sheetView>
  </sheetViews>
  <sheetFormatPr defaultColWidth="9" defaultRowHeight="13.5"/>
  <cols>
    <col min="1" max="35" width="2.625" style="5" customWidth="1"/>
    <col min="36" max="39" width="2.125" style="5" customWidth="1"/>
    <col min="40" max="40" width="39.125" style="5" bestFit="1" customWidth="1"/>
    <col min="41" max="41" width="77.75" style="5" bestFit="1" customWidth="1"/>
    <col min="42" max="16384" width="9" style="5"/>
  </cols>
  <sheetData>
    <row r="1" spans="1:54" ht="21">
      <c r="A1" s="16"/>
      <c r="B1" s="509" t="s">
        <v>185</v>
      </c>
      <c r="C1" s="509"/>
      <c r="D1" s="509"/>
      <c r="E1" s="509"/>
      <c r="F1" s="16"/>
      <c r="G1" s="16"/>
      <c r="H1" s="16"/>
      <c r="I1" s="16"/>
      <c r="J1" s="17"/>
      <c r="K1" s="16"/>
      <c r="L1" s="16"/>
      <c r="M1" s="16"/>
      <c r="N1" s="16"/>
      <c r="O1" s="16"/>
      <c r="P1" s="18"/>
      <c r="Q1" s="18"/>
      <c r="R1" s="16"/>
      <c r="S1" s="510"/>
      <c r="T1" s="510"/>
      <c r="U1" s="510"/>
      <c r="V1" s="16"/>
      <c r="W1" s="16"/>
      <c r="X1" s="16" t="s">
        <v>186</v>
      </c>
      <c r="Y1" s="16"/>
      <c r="Z1" s="16"/>
      <c r="AA1" s="509">
        <f>弔事報告書!Y2</f>
        <v>0</v>
      </c>
      <c r="AB1" s="509"/>
      <c r="AC1" s="509"/>
      <c r="AD1" s="16" t="s">
        <v>4</v>
      </c>
      <c r="AE1" s="509">
        <f>弔事報告書!AB2</f>
        <v>0</v>
      </c>
      <c r="AF1" s="509"/>
      <c r="AG1" s="250" t="s">
        <v>187</v>
      </c>
      <c r="AH1" s="509">
        <f>弔事報告書!AD2</f>
        <v>0</v>
      </c>
      <c r="AI1" s="509"/>
      <c r="AJ1" s="250" t="s">
        <v>45</v>
      </c>
      <c r="AL1" s="19"/>
      <c r="AM1" s="20"/>
      <c r="AN1" s="19"/>
      <c r="AO1" s="19"/>
      <c r="AP1" s="19"/>
      <c r="AQ1" s="19"/>
      <c r="AR1" s="19"/>
      <c r="AS1" s="19"/>
      <c r="AT1" s="19"/>
      <c r="AU1" s="19"/>
      <c r="AV1" s="19"/>
      <c r="AW1" s="19"/>
      <c r="AX1" s="19"/>
      <c r="AY1" s="19"/>
      <c r="AZ1" s="19"/>
      <c r="BA1" s="19"/>
      <c r="BB1" s="19"/>
    </row>
    <row r="2" spans="1:54" ht="24" customHeight="1">
      <c r="B2" s="511"/>
      <c r="C2" s="511"/>
      <c r="D2" s="511"/>
      <c r="E2" s="511"/>
      <c r="F2" s="511"/>
      <c r="G2" s="511"/>
      <c r="H2" s="511"/>
      <c r="I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16"/>
      <c r="AL2" s="21"/>
      <c r="AM2" s="19"/>
      <c r="AN2" s="19"/>
      <c r="AO2" s="19"/>
      <c r="AP2" s="19"/>
      <c r="AQ2" s="19"/>
      <c r="AR2" s="19"/>
      <c r="AS2" s="19"/>
      <c r="AT2" s="19"/>
      <c r="AU2" s="19"/>
      <c r="AV2" s="19"/>
      <c r="AW2" s="19"/>
      <c r="AX2" s="19"/>
      <c r="AY2" s="19"/>
      <c r="AZ2" s="19"/>
      <c r="BA2" s="19"/>
      <c r="BB2" s="19"/>
    </row>
    <row r="3" spans="1:54" ht="15.95" customHeight="1">
      <c r="H3" s="141"/>
      <c r="I3" s="141"/>
      <c r="J3" s="141"/>
      <c r="K3" s="141"/>
      <c r="L3" s="513" t="str">
        <f>IFERROR(VLOOKUP(B2,AN6:AO15,2,FALSE),"")</f>
        <v/>
      </c>
      <c r="M3" s="513"/>
      <c r="N3" s="513"/>
      <c r="O3" s="513"/>
      <c r="P3" s="513"/>
      <c r="Q3" s="513"/>
      <c r="R3" s="513"/>
      <c r="S3" s="513"/>
      <c r="T3" s="513"/>
      <c r="U3" s="513"/>
      <c r="V3" s="513"/>
      <c r="W3" s="513"/>
      <c r="X3" s="513"/>
      <c r="Y3" s="513"/>
      <c r="Z3" s="513"/>
      <c r="AA3" s="513"/>
      <c r="AB3" s="513"/>
      <c r="AC3" s="513"/>
      <c r="AD3" s="513"/>
      <c r="AE3" s="513"/>
      <c r="AF3" s="513"/>
      <c r="AG3" s="513"/>
      <c r="AH3" s="513"/>
      <c r="AI3" s="513"/>
      <c r="AJ3" s="513"/>
      <c r="AK3" s="16"/>
      <c r="AL3" s="19"/>
      <c r="AM3" s="19"/>
      <c r="AN3" s="19"/>
      <c r="AO3" s="19"/>
      <c r="AP3" s="19"/>
      <c r="AQ3" s="19"/>
      <c r="AR3" s="19"/>
      <c r="AS3" s="19"/>
      <c r="AT3" s="19"/>
      <c r="AU3" s="19"/>
      <c r="AV3" s="19"/>
      <c r="AW3" s="19"/>
      <c r="AX3" s="19"/>
      <c r="AY3" s="19"/>
      <c r="AZ3" s="19"/>
      <c r="BA3" s="19"/>
      <c r="BB3" s="19"/>
    </row>
    <row r="4" spans="1:54">
      <c r="AL4" s="19"/>
      <c r="AM4" s="19"/>
      <c r="AN4" s="19"/>
      <c r="AO4" s="19"/>
      <c r="AP4" s="19"/>
      <c r="AQ4" s="19"/>
      <c r="AR4" s="19"/>
      <c r="AS4" s="19"/>
      <c r="AT4" s="19"/>
      <c r="AU4" s="19"/>
      <c r="AV4" s="19"/>
      <c r="AW4" s="19"/>
      <c r="AX4" s="19"/>
      <c r="AY4" s="19"/>
      <c r="AZ4" s="19"/>
      <c r="BA4" s="19"/>
      <c r="BB4" s="19"/>
    </row>
    <row r="5" spans="1:54" ht="21">
      <c r="A5" s="16"/>
      <c r="B5" s="512" t="s">
        <v>188</v>
      </c>
      <c r="C5" s="512"/>
      <c r="D5" s="512"/>
      <c r="E5" s="512"/>
      <c r="F5" s="512"/>
      <c r="G5" s="512"/>
      <c r="H5" s="512"/>
      <c r="I5" s="512"/>
      <c r="J5" s="512"/>
      <c r="K5" s="512"/>
      <c r="L5" s="512"/>
      <c r="M5" s="512"/>
      <c r="N5" s="512"/>
      <c r="O5" s="512"/>
      <c r="P5" s="512"/>
      <c r="Q5" s="512"/>
      <c r="R5" s="512"/>
      <c r="S5" s="512"/>
      <c r="T5" s="512"/>
      <c r="U5" s="512"/>
      <c r="V5" s="512"/>
      <c r="W5" s="512"/>
      <c r="X5" s="512"/>
      <c r="Y5" s="512"/>
      <c r="Z5" s="512"/>
      <c r="AA5" s="512"/>
      <c r="AB5" s="512"/>
      <c r="AC5" s="512"/>
      <c r="AD5" s="512"/>
      <c r="AE5" s="512"/>
      <c r="AF5" s="512"/>
      <c r="AG5" s="512"/>
      <c r="AH5" s="512"/>
      <c r="AI5" s="512"/>
      <c r="AJ5" s="512"/>
      <c r="AK5" s="16"/>
      <c r="AL5" s="19"/>
      <c r="AM5" s="19"/>
      <c r="AN5" s="80" t="s">
        <v>189</v>
      </c>
      <c r="AO5" s="81"/>
    </row>
    <row r="6" spans="1:54" ht="18" customHeight="1">
      <c r="A6" s="16"/>
      <c r="B6" s="16"/>
      <c r="C6" s="16"/>
      <c r="D6" s="16"/>
      <c r="E6" s="16"/>
      <c r="F6" s="16"/>
      <c r="G6" s="16"/>
      <c r="H6" s="16"/>
      <c r="I6" s="16"/>
      <c r="J6" s="41"/>
      <c r="K6" s="39"/>
      <c r="L6" s="39"/>
      <c r="M6" s="39"/>
      <c r="N6" s="39"/>
      <c r="O6" s="16"/>
      <c r="P6" s="16"/>
      <c r="Q6" s="16"/>
      <c r="R6" s="16"/>
      <c r="S6" s="16"/>
      <c r="T6" s="16"/>
      <c r="U6" s="16"/>
      <c r="V6" s="16"/>
      <c r="W6" s="16"/>
      <c r="X6" s="16"/>
      <c r="Y6" s="16"/>
      <c r="Z6" s="16"/>
      <c r="AA6" s="16"/>
      <c r="AB6" s="16"/>
      <c r="AC6" s="16"/>
      <c r="AD6" s="16"/>
      <c r="AE6" s="16"/>
      <c r="AF6" s="16"/>
      <c r="AG6" s="16"/>
      <c r="AH6" s="16"/>
      <c r="AI6" s="16"/>
      <c r="AJ6" s="16"/>
      <c r="AK6" s="16"/>
      <c r="AL6" s="19"/>
      <c r="AM6" s="19"/>
      <c r="AN6" s="158" t="s">
        <v>190</v>
      </c>
      <c r="AO6" s="159" t="s">
        <v>191</v>
      </c>
    </row>
    <row r="7" spans="1:54" ht="18" customHeight="1">
      <c r="A7" s="16"/>
      <c r="B7" s="16"/>
      <c r="C7" s="247" t="s">
        <v>192</v>
      </c>
      <c r="D7" s="16"/>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9"/>
      <c r="AM7" s="19"/>
      <c r="AN7" s="158" t="s">
        <v>193</v>
      </c>
      <c r="AO7" s="159" t="s">
        <v>194</v>
      </c>
    </row>
    <row r="8" spans="1:54" ht="18.75">
      <c r="A8" s="16"/>
      <c r="B8" s="16"/>
      <c r="C8" s="40"/>
      <c r="D8" s="40"/>
      <c r="E8" s="40"/>
      <c r="F8" s="16"/>
      <c r="G8" s="40" t="s">
        <v>195</v>
      </c>
      <c r="H8" s="16"/>
      <c r="I8" s="16"/>
      <c r="J8" s="16"/>
      <c r="K8" s="16"/>
      <c r="L8" s="16"/>
      <c r="M8" s="16"/>
      <c r="N8" s="73" t="s">
        <v>196</v>
      </c>
      <c r="O8" s="16"/>
      <c r="P8" s="16"/>
      <c r="Q8" s="16"/>
      <c r="R8" s="40" t="s">
        <v>197</v>
      </c>
      <c r="S8" s="16"/>
      <c r="T8" s="16"/>
      <c r="U8" s="73"/>
      <c r="V8" s="73"/>
      <c r="W8" s="74"/>
      <c r="X8" s="74"/>
      <c r="Y8" s="74"/>
      <c r="Z8" s="74"/>
      <c r="AA8" s="74"/>
      <c r="AB8" s="16"/>
      <c r="AC8" s="16"/>
      <c r="AD8" s="16"/>
      <c r="AE8" s="16"/>
      <c r="AF8" s="16"/>
      <c r="AG8" s="16"/>
      <c r="AH8" s="16"/>
      <c r="AI8" s="16"/>
      <c r="AJ8" s="16"/>
      <c r="AK8" s="16"/>
      <c r="AL8" s="19"/>
      <c r="AM8" s="19"/>
      <c r="AN8" s="158" t="s">
        <v>198</v>
      </c>
      <c r="AO8" s="159" t="s">
        <v>199</v>
      </c>
    </row>
    <row r="9" spans="1:54" ht="18.75">
      <c r="A9" s="16"/>
      <c r="B9" s="40"/>
      <c r="C9" s="40"/>
      <c r="D9" s="40"/>
      <c r="E9" s="40"/>
      <c r="F9" s="16"/>
      <c r="G9" s="16"/>
      <c r="H9" s="16"/>
      <c r="I9" s="16"/>
      <c r="J9" s="16"/>
      <c r="K9" s="16"/>
      <c r="L9" s="16"/>
      <c r="M9" s="16"/>
      <c r="N9" s="16"/>
      <c r="O9" s="16"/>
      <c r="P9" s="16"/>
      <c r="Q9" s="73"/>
      <c r="R9" s="75" t="s">
        <v>200</v>
      </c>
      <c r="S9" s="16"/>
      <c r="T9" s="16"/>
      <c r="U9" s="73"/>
      <c r="V9" s="73"/>
      <c r="W9" s="74"/>
      <c r="X9" s="22"/>
      <c r="Y9" s="22"/>
      <c r="Z9" s="22"/>
      <c r="AA9" s="22"/>
      <c r="AB9" s="16"/>
      <c r="AC9" s="16"/>
      <c r="AD9" s="16"/>
      <c r="AE9" s="16"/>
      <c r="AF9" s="16"/>
      <c r="AG9" s="16"/>
      <c r="AH9" s="16"/>
      <c r="AI9" s="16"/>
      <c r="AJ9" s="16"/>
      <c r="AK9" s="16"/>
      <c r="AL9" s="19"/>
      <c r="AM9" s="19"/>
      <c r="AN9" s="158" t="s">
        <v>201</v>
      </c>
      <c r="AO9" s="159" t="s">
        <v>202</v>
      </c>
    </row>
    <row r="10" spans="1:54" ht="18.75">
      <c r="A10" s="76"/>
      <c r="B10" s="40"/>
      <c r="C10" s="77"/>
      <c r="D10" s="73"/>
      <c r="E10" s="73"/>
      <c r="F10" s="40"/>
      <c r="G10" s="40"/>
      <c r="H10" s="22"/>
      <c r="I10" s="40"/>
      <c r="J10" s="40"/>
      <c r="K10" s="40"/>
      <c r="L10" s="22"/>
      <c r="M10" s="22"/>
      <c r="N10" s="22"/>
      <c r="O10" s="22"/>
      <c r="P10" s="22"/>
      <c r="Q10" s="16"/>
      <c r="R10" s="16"/>
      <c r="S10" s="16"/>
      <c r="T10" s="16"/>
      <c r="U10" s="16"/>
      <c r="V10" s="16"/>
      <c r="W10" s="16"/>
      <c r="X10" s="16"/>
      <c r="Y10" s="16"/>
      <c r="Z10" s="16"/>
      <c r="AA10" s="16"/>
      <c r="AB10" s="16"/>
      <c r="AC10" s="16"/>
      <c r="AD10" s="16"/>
      <c r="AE10" s="16"/>
      <c r="AF10" s="16"/>
      <c r="AG10" s="16"/>
      <c r="AH10" s="16"/>
      <c r="AI10" s="16"/>
      <c r="AJ10" s="16"/>
      <c r="AK10" s="16"/>
      <c r="AL10" s="19"/>
      <c r="AM10" s="19"/>
      <c r="AN10" s="158" t="s">
        <v>203</v>
      </c>
      <c r="AO10" s="159" t="s">
        <v>204</v>
      </c>
    </row>
    <row r="11" spans="1:54" ht="18.75">
      <c r="A11" s="16"/>
      <c r="B11" s="40"/>
      <c r="C11" s="73"/>
      <c r="D11" s="73"/>
      <c r="E11" s="73"/>
      <c r="F11" s="16"/>
      <c r="G11" s="16"/>
      <c r="H11" s="16"/>
      <c r="I11" s="16"/>
      <c r="J11" s="16"/>
      <c r="K11" s="16"/>
      <c r="L11" s="16"/>
      <c r="M11" s="73" t="s">
        <v>205</v>
      </c>
      <c r="N11" s="73"/>
      <c r="O11" s="22"/>
      <c r="P11" s="16"/>
      <c r="Q11" s="75"/>
      <c r="R11" s="515" t="str">
        <f>弔事報告書!Z41</f>
        <v/>
      </c>
      <c r="S11" s="515"/>
      <c r="T11" s="515"/>
      <c r="U11" s="515"/>
      <c r="V11" s="515"/>
      <c r="W11" s="515"/>
      <c r="X11" s="16"/>
      <c r="Y11" s="40" t="s">
        <v>103</v>
      </c>
      <c r="Z11" s="16"/>
      <c r="AA11" s="16"/>
      <c r="AB11" s="16"/>
      <c r="AC11" s="16"/>
      <c r="AD11" s="16"/>
      <c r="AE11" s="16"/>
      <c r="AF11" s="16"/>
      <c r="AG11" s="16"/>
      <c r="AH11" s="16"/>
      <c r="AI11" s="16"/>
      <c r="AJ11" s="16"/>
      <c r="AK11" s="16"/>
      <c r="AL11" s="19"/>
      <c r="AM11" s="19"/>
      <c r="AN11" s="158" t="s">
        <v>206</v>
      </c>
      <c r="AO11" s="159" t="s">
        <v>207</v>
      </c>
    </row>
    <row r="12" spans="1:54" ht="18.75">
      <c r="A12" s="16"/>
      <c r="B12" s="22"/>
      <c r="C12" s="22"/>
      <c r="D12" s="22"/>
      <c r="E12" s="22"/>
      <c r="F12" s="22"/>
      <c r="G12" s="22"/>
      <c r="H12" s="22"/>
      <c r="I12" s="22"/>
      <c r="J12" s="22"/>
      <c r="K12" s="22"/>
      <c r="L12" s="22"/>
      <c r="M12" s="22"/>
      <c r="N12" s="22"/>
      <c r="O12" s="22"/>
      <c r="P12" s="22"/>
      <c r="Q12" s="16"/>
      <c r="R12" s="16"/>
      <c r="S12" s="16"/>
      <c r="T12" s="16"/>
      <c r="U12" s="16"/>
      <c r="V12" s="16"/>
      <c r="W12" s="16"/>
      <c r="X12" s="16"/>
      <c r="Y12" s="16"/>
      <c r="Z12" s="16"/>
      <c r="AA12" s="16"/>
      <c r="AB12" s="16"/>
      <c r="AC12" s="16"/>
      <c r="AD12" s="16"/>
      <c r="AE12" s="16"/>
      <c r="AF12" s="16"/>
      <c r="AG12" s="16"/>
      <c r="AH12" s="16"/>
      <c r="AI12" s="16"/>
      <c r="AJ12" s="16"/>
      <c r="AK12" s="16"/>
      <c r="AL12" s="19"/>
      <c r="AM12" s="19"/>
      <c r="AN12" s="158" t="s">
        <v>208</v>
      </c>
      <c r="AO12" s="159" t="s">
        <v>209</v>
      </c>
    </row>
    <row r="13" spans="1:54" ht="18" customHeight="1">
      <c r="A13" s="16"/>
      <c r="B13" s="16"/>
      <c r="C13" s="16"/>
      <c r="D13" s="16"/>
      <c r="E13" s="78"/>
      <c r="F13" s="23"/>
      <c r="G13" s="78"/>
      <c r="H13" s="79"/>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9"/>
      <c r="AM13" s="19"/>
      <c r="AN13" s="158" t="s">
        <v>210</v>
      </c>
      <c r="AO13" s="160" t="s">
        <v>211</v>
      </c>
    </row>
    <row r="14" spans="1:54" ht="18.75">
      <c r="A14" s="16"/>
      <c r="B14" s="63" t="s">
        <v>212</v>
      </c>
      <c r="C14" s="64"/>
      <c r="D14" s="65"/>
      <c r="E14" s="66"/>
      <c r="F14" s="66"/>
      <c r="G14" s="66"/>
      <c r="H14" s="64"/>
      <c r="I14" s="64"/>
      <c r="J14" s="64"/>
      <c r="K14" s="64"/>
      <c r="L14" s="67"/>
      <c r="M14" s="67"/>
      <c r="N14" s="64"/>
      <c r="O14" s="64"/>
      <c r="P14" s="67"/>
      <c r="Q14" s="67"/>
      <c r="R14" s="67"/>
      <c r="S14" s="68"/>
      <c r="T14" s="64"/>
      <c r="U14" s="64"/>
      <c r="V14" s="64"/>
      <c r="W14" s="64"/>
      <c r="X14" s="64"/>
      <c r="Y14" s="64"/>
      <c r="Z14" s="64"/>
      <c r="AA14" s="64"/>
      <c r="AB14" s="64"/>
      <c r="AC14" s="64"/>
      <c r="AD14" s="64"/>
      <c r="AE14" s="64"/>
      <c r="AF14" s="64"/>
      <c r="AG14" s="64"/>
      <c r="AH14" s="64"/>
      <c r="AI14" s="64"/>
      <c r="AJ14" s="64"/>
      <c r="AK14" s="16"/>
      <c r="AL14" s="19"/>
      <c r="AM14" s="19"/>
      <c r="AN14" s="158" t="s">
        <v>213</v>
      </c>
      <c r="AO14" s="160" t="s">
        <v>214</v>
      </c>
    </row>
    <row r="15" spans="1:54" ht="18.75">
      <c r="A15" s="16"/>
      <c r="B15" s="18" t="s">
        <v>215</v>
      </c>
      <c r="C15" s="16"/>
      <c r="D15" s="40"/>
      <c r="E15" s="22"/>
      <c r="F15" s="22"/>
      <c r="G15" s="504">
        <f>弔事報告書!$F$19</f>
        <v>0</v>
      </c>
      <c r="H15" s="504"/>
      <c r="I15" s="508" t="s">
        <v>216</v>
      </c>
      <c r="J15" s="508"/>
      <c r="K15" s="504">
        <f>弔事報告書!$H$19</f>
        <v>0</v>
      </c>
      <c r="L15" s="504"/>
      <c r="M15" s="508" t="s">
        <v>6</v>
      </c>
      <c r="N15" s="508"/>
      <c r="O15" s="40"/>
      <c r="P15" s="40" t="s">
        <v>54</v>
      </c>
      <c r="Q15" s="504">
        <f>弔事報告書!$K$19</f>
        <v>0</v>
      </c>
      <c r="R15" s="504"/>
      <c r="S15" s="40" t="s">
        <v>55</v>
      </c>
      <c r="T15" s="40"/>
      <c r="U15" s="40"/>
      <c r="V15" s="504">
        <f>弔事報告書!$M$19</f>
        <v>0</v>
      </c>
      <c r="W15" s="504"/>
      <c r="X15" s="40" t="s">
        <v>56</v>
      </c>
      <c r="Y15" s="504">
        <f>弔事報告書!$O$19</f>
        <v>0</v>
      </c>
      <c r="Z15" s="504"/>
      <c r="AA15" s="40"/>
      <c r="AB15" s="40" t="s">
        <v>74</v>
      </c>
      <c r="AC15" s="40"/>
      <c r="AD15" s="40"/>
      <c r="AE15" s="40"/>
      <c r="AF15" s="40"/>
      <c r="AG15" s="40"/>
      <c r="AH15" s="40"/>
      <c r="AI15" s="40"/>
      <c r="AJ15" s="40"/>
      <c r="AK15" s="40"/>
      <c r="AL15" s="19"/>
      <c r="AM15" s="19"/>
      <c r="AN15" s="162" t="s">
        <v>217</v>
      </c>
      <c r="AO15" s="161" t="s">
        <v>218</v>
      </c>
    </row>
    <row r="16" spans="1:54" ht="16.5">
      <c r="A16" s="16"/>
      <c r="B16" s="16"/>
      <c r="C16" s="16"/>
      <c r="D16" s="41"/>
      <c r="E16" s="42"/>
      <c r="F16" s="43"/>
      <c r="G16" s="42"/>
      <c r="H16" s="42"/>
      <c r="I16" s="42"/>
      <c r="J16" s="42"/>
      <c r="K16" s="42"/>
      <c r="L16" s="42"/>
      <c r="M16" s="41"/>
      <c r="N16" s="41"/>
      <c r="O16" s="41"/>
      <c r="P16" s="16"/>
      <c r="Q16" s="16"/>
      <c r="R16" s="16"/>
      <c r="S16" s="16"/>
      <c r="T16" s="16"/>
      <c r="U16" s="16"/>
      <c r="V16" s="16"/>
      <c r="W16" s="16"/>
      <c r="X16" s="16"/>
      <c r="Y16" s="16"/>
      <c r="Z16" s="16"/>
      <c r="AA16" s="16"/>
      <c r="AB16" s="16"/>
      <c r="AC16" s="16"/>
      <c r="AD16" s="16"/>
      <c r="AE16" s="16"/>
      <c r="AF16" s="16"/>
      <c r="AG16" s="16"/>
      <c r="AH16" s="16"/>
      <c r="AI16" s="16"/>
      <c r="AJ16" s="16"/>
      <c r="AK16" s="16"/>
      <c r="AL16" s="19"/>
      <c r="AM16" s="19"/>
      <c r="AN16" s="19"/>
      <c r="AO16" s="24"/>
    </row>
    <row r="17" spans="1:42" ht="18.75">
      <c r="A17" s="16"/>
      <c r="B17" s="18" t="s">
        <v>219</v>
      </c>
      <c r="C17" s="16"/>
      <c r="D17" s="40"/>
      <c r="E17" s="40"/>
      <c r="F17" s="40"/>
      <c r="G17" s="498">
        <f>弔事報告書!$F$22</f>
        <v>0</v>
      </c>
      <c r="H17" s="498"/>
      <c r="I17" s="498"/>
      <c r="J17" s="498"/>
      <c r="K17" s="498"/>
      <c r="L17" s="498"/>
      <c r="M17" s="498"/>
      <c r="N17" s="498"/>
      <c r="O17" s="498"/>
      <c r="P17" s="498"/>
      <c r="Q17" s="498"/>
      <c r="R17" s="498"/>
      <c r="S17" s="498"/>
      <c r="T17" s="498"/>
      <c r="U17" s="498"/>
      <c r="V17" s="498"/>
      <c r="W17" s="498"/>
      <c r="X17" s="498"/>
      <c r="Y17" s="498"/>
      <c r="Z17" s="498"/>
      <c r="AA17" s="498"/>
      <c r="AB17" s="498"/>
      <c r="AC17" s="498"/>
      <c r="AD17" s="498"/>
      <c r="AE17" s="498"/>
      <c r="AF17" s="498"/>
      <c r="AG17" s="498"/>
      <c r="AH17" s="498"/>
      <c r="AI17" s="498"/>
      <c r="AJ17" s="16"/>
      <c r="AK17" s="16"/>
      <c r="AL17" s="19"/>
      <c r="AM17" s="19"/>
      <c r="AN17" s="19"/>
      <c r="AO17" s="19"/>
    </row>
    <row r="18" spans="1:42" ht="16.5">
      <c r="A18" s="16"/>
      <c r="B18" s="18"/>
      <c r="C18" s="16"/>
      <c r="D18" s="18"/>
      <c r="E18" s="41"/>
      <c r="F18" s="16"/>
      <c r="G18" s="16"/>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9"/>
      <c r="AM18" s="19"/>
      <c r="AN18" s="83" t="s">
        <v>220</v>
      </c>
      <c r="AO18" s="155" t="s">
        <v>221</v>
      </c>
      <c r="AP18" s="19"/>
    </row>
    <row r="19" spans="1:42" ht="18.75">
      <c r="A19" s="16"/>
      <c r="B19" s="18"/>
      <c r="C19" s="16"/>
      <c r="D19" s="44"/>
      <c r="E19" s="40"/>
      <c r="F19" s="40"/>
      <c r="G19" s="498">
        <f>弔事報告書!$F$23</f>
        <v>0</v>
      </c>
      <c r="H19" s="498"/>
      <c r="I19" s="498"/>
      <c r="J19" s="498"/>
      <c r="K19" s="498"/>
      <c r="L19" s="498"/>
      <c r="M19" s="498"/>
      <c r="N19" s="498"/>
      <c r="O19" s="498"/>
      <c r="P19" s="498"/>
      <c r="Q19" s="498"/>
      <c r="R19" s="498"/>
      <c r="S19" s="498"/>
      <c r="T19" s="498"/>
      <c r="U19" s="498"/>
      <c r="V19" s="498"/>
      <c r="W19" s="498"/>
      <c r="X19" s="498"/>
      <c r="Y19" s="498"/>
      <c r="Z19" s="498"/>
      <c r="AA19" s="498"/>
      <c r="AB19" s="498"/>
      <c r="AC19" s="498"/>
      <c r="AD19" s="498"/>
      <c r="AE19" s="498"/>
      <c r="AF19" s="498"/>
      <c r="AG19" s="498"/>
      <c r="AH19" s="498"/>
      <c r="AI19" s="498"/>
      <c r="AJ19" s="16"/>
      <c r="AK19" s="16"/>
      <c r="AL19" s="19"/>
      <c r="AM19" s="19"/>
      <c r="AN19" s="84" t="s">
        <v>222</v>
      </c>
      <c r="AO19" s="156" t="s">
        <v>223</v>
      </c>
      <c r="AP19" s="19"/>
    </row>
    <row r="20" spans="1:42" ht="18.75">
      <c r="A20" s="16"/>
      <c r="B20" s="18"/>
      <c r="C20" s="16"/>
      <c r="D20" s="22"/>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9"/>
      <c r="AM20" s="19"/>
      <c r="AN20" s="84" t="s">
        <v>224</v>
      </c>
      <c r="AO20" s="156" t="s">
        <v>225</v>
      </c>
      <c r="AP20" s="19"/>
    </row>
    <row r="21" spans="1:42" ht="18.75">
      <c r="A21" s="16"/>
      <c r="B21" s="18" t="s">
        <v>226</v>
      </c>
      <c r="C21" s="16"/>
      <c r="D21" s="44"/>
      <c r="E21" s="44"/>
      <c r="F21" s="44"/>
      <c r="G21" s="44" t="s">
        <v>54</v>
      </c>
      <c r="H21" s="505">
        <f>弔事報告書!$Q$20</f>
        <v>0</v>
      </c>
      <c r="I21" s="505"/>
      <c r="J21" s="505"/>
      <c r="K21" s="505"/>
      <c r="L21" s="505"/>
      <c r="M21" s="505"/>
      <c r="N21" s="44" t="s">
        <v>55</v>
      </c>
      <c r="O21" s="44"/>
      <c r="P21" s="505">
        <f>弔事報告書!$T$20</f>
        <v>0</v>
      </c>
      <c r="Q21" s="505"/>
      <c r="R21" s="505"/>
      <c r="S21" s="505"/>
      <c r="T21" s="44"/>
      <c r="U21" s="506" t="s">
        <v>227</v>
      </c>
      <c r="V21" s="506"/>
      <c r="W21" s="44"/>
      <c r="X21" s="507">
        <f>弔事報告書!$W$20</f>
        <v>0</v>
      </c>
      <c r="Y21" s="507"/>
      <c r="Z21" s="507"/>
      <c r="AA21" s="507"/>
      <c r="AB21" s="507"/>
      <c r="AC21" s="507"/>
      <c r="AD21" s="507"/>
      <c r="AE21" s="507"/>
      <c r="AF21" s="507"/>
      <c r="AG21" s="507"/>
      <c r="AH21" s="507"/>
      <c r="AI21" s="507"/>
      <c r="AJ21" s="16"/>
      <c r="AK21" s="16"/>
      <c r="AL21" s="19"/>
      <c r="AM21" s="19"/>
      <c r="AN21" s="84" t="s">
        <v>228</v>
      </c>
      <c r="AO21" s="156" t="s">
        <v>229</v>
      </c>
      <c r="AP21" s="19"/>
    </row>
    <row r="22" spans="1:42" ht="16.5">
      <c r="A22" s="16"/>
      <c r="B22" s="16"/>
      <c r="C22" s="16"/>
      <c r="D22" s="18"/>
      <c r="E22" s="45"/>
      <c r="F22" s="45"/>
      <c r="G22" s="45"/>
      <c r="H22" s="45"/>
      <c r="I22" s="45"/>
      <c r="J22" s="45"/>
      <c r="K22" s="45"/>
      <c r="L22" s="45"/>
      <c r="M22" s="45"/>
      <c r="N22" s="45"/>
      <c r="O22" s="45"/>
      <c r="P22" s="45"/>
      <c r="Q22" s="46"/>
      <c r="R22" s="46"/>
      <c r="S22" s="46"/>
      <c r="T22" s="16"/>
      <c r="U22" s="16"/>
      <c r="V22" s="16"/>
      <c r="W22" s="16"/>
      <c r="X22" s="16"/>
      <c r="Y22" s="16"/>
      <c r="Z22" s="16"/>
      <c r="AA22" s="16"/>
      <c r="AB22" s="16"/>
      <c r="AC22" s="16"/>
      <c r="AD22" s="16"/>
      <c r="AE22" s="16"/>
      <c r="AF22" s="16"/>
      <c r="AG22" s="16"/>
      <c r="AH22" s="16"/>
      <c r="AI22" s="16"/>
      <c r="AJ22" s="16"/>
      <c r="AK22" s="16"/>
      <c r="AL22" s="19"/>
      <c r="AM22" s="19"/>
      <c r="AN22" s="84" t="s">
        <v>230</v>
      </c>
      <c r="AO22" s="156" t="s">
        <v>231</v>
      </c>
      <c r="AP22" s="19"/>
    </row>
    <row r="23" spans="1:42" ht="18.75">
      <c r="A23" s="16"/>
      <c r="B23" s="63" t="s">
        <v>232</v>
      </c>
      <c r="C23" s="64"/>
      <c r="D23" s="69"/>
      <c r="E23" s="69"/>
      <c r="F23" s="69"/>
      <c r="G23" s="69"/>
      <c r="H23" s="69"/>
      <c r="I23" s="69"/>
      <c r="J23" s="69"/>
      <c r="K23" s="69"/>
      <c r="L23" s="69"/>
      <c r="M23" s="69"/>
      <c r="N23" s="69"/>
      <c r="O23" s="69"/>
      <c r="P23" s="69"/>
      <c r="Q23" s="69"/>
      <c r="R23" s="69"/>
      <c r="S23" s="69"/>
      <c r="T23" s="64"/>
      <c r="U23" s="64"/>
      <c r="V23" s="64"/>
      <c r="W23" s="64"/>
      <c r="X23" s="64"/>
      <c r="Y23" s="64"/>
      <c r="Z23" s="64"/>
      <c r="AA23" s="64"/>
      <c r="AB23" s="64"/>
      <c r="AC23" s="64"/>
      <c r="AD23" s="64"/>
      <c r="AE23" s="64"/>
      <c r="AF23" s="64"/>
      <c r="AG23" s="64"/>
      <c r="AH23" s="64"/>
      <c r="AI23" s="64"/>
      <c r="AJ23" s="64"/>
      <c r="AK23" s="16"/>
      <c r="AL23" s="19"/>
      <c r="AM23" s="19"/>
      <c r="AN23" s="82" t="s">
        <v>233</v>
      </c>
      <c r="AO23" s="157" t="s">
        <v>234</v>
      </c>
      <c r="AP23" s="19"/>
    </row>
    <row r="24" spans="1:42" ht="18.75">
      <c r="A24" s="16"/>
      <c r="B24" s="18" t="s">
        <v>215</v>
      </c>
      <c r="C24" s="16"/>
      <c r="D24" s="44"/>
      <c r="E24" s="16"/>
      <c r="F24" s="22"/>
      <c r="G24" s="504">
        <f>弔事報告書!$F$24</f>
        <v>0</v>
      </c>
      <c r="H24" s="504"/>
      <c r="I24" s="508" t="s">
        <v>216</v>
      </c>
      <c r="J24" s="508"/>
      <c r="K24" s="504">
        <f>弔事報告書!$H$24</f>
        <v>0</v>
      </c>
      <c r="L24" s="504"/>
      <c r="M24" s="508" t="s">
        <v>6</v>
      </c>
      <c r="N24" s="508"/>
      <c r="O24" s="40"/>
      <c r="P24" s="40" t="s">
        <v>54</v>
      </c>
      <c r="Q24" s="504">
        <f>弔事報告書!$K$24</f>
        <v>0</v>
      </c>
      <c r="R24" s="504"/>
      <c r="S24" s="40" t="s">
        <v>55</v>
      </c>
      <c r="T24" s="40"/>
      <c r="U24" s="40"/>
      <c r="V24" s="504">
        <f>弔事報告書!$M$24</f>
        <v>0</v>
      </c>
      <c r="W24" s="504"/>
      <c r="X24" s="40" t="s">
        <v>56</v>
      </c>
      <c r="Y24" s="504">
        <f>弔事報告書!$O$24</f>
        <v>0</v>
      </c>
      <c r="Z24" s="504"/>
      <c r="AA24" s="40"/>
      <c r="AB24" s="40" t="s">
        <v>74</v>
      </c>
      <c r="AC24" s="40"/>
      <c r="AD24" s="40"/>
      <c r="AE24" s="40"/>
      <c r="AF24" s="40"/>
      <c r="AG24" s="40"/>
      <c r="AH24" s="40"/>
      <c r="AI24" s="40"/>
      <c r="AJ24" s="40"/>
      <c r="AK24" s="16"/>
      <c r="AL24" s="19"/>
      <c r="AM24" s="19"/>
      <c r="AN24" s="19"/>
      <c r="AO24" s="19"/>
    </row>
    <row r="25" spans="1:42" ht="16.5">
      <c r="A25" s="16"/>
      <c r="B25" s="16"/>
      <c r="C25" s="16"/>
      <c r="D25" s="41"/>
      <c r="E25" s="42"/>
      <c r="F25" s="43"/>
      <c r="G25" s="42"/>
      <c r="H25" s="42"/>
      <c r="I25" s="42"/>
      <c r="J25" s="42"/>
      <c r="K25" s="42"/>
      <c r="L25" s="42"/>
      <c r="M25" s="41"/>
      <c r="N25" s="41"/>
      <c r="O25" s="41"/>
      <c r="P25" s="16"/>
      <c r="Q25" s="16"/>
      <c r="R25" s="16"/>
      <c r="S25" s="16"/>
      <c r="T25" s="16"/>
      <c r="U25" s="16"/>
      <c r="V25" s="16"/>
      <c r="W25" s="16"/>
      <c r="X25" s="16"/>
      <c r="Y25" s="16"/>
      <c r="Z25" s="16"/>
      <c r="AA25" s="16"/>
      <c r="AB25" s="16"/>
      <c r="AC25" s="16"/>
      <c r="AD25" s="16"/>
      <c r="AE25" s="16"/>
      <c r="AF25" s="16"/>
      <c r="AG25" s="16"/>
      <c r="AH25" s="16"/>
      <c r="AI25" s="16"/>
      <c r="AJ25" s="16"/>
      <c r="AK25" s="16"/>
      <c r="AL25" s="19"/>
      <c r="AM25" s="19"/>
      <c r="AN25" s="19"/>
      <c r="AO25" s="19"/>
    </row>
    <row r="26" spans="1:42" ht="18.75">
      <c r="A26" s="16"/>
      <c r="B26" s="18" t="s">
        <v>219</v>
      </c>
      <c r="C26" s="16"/>
      <c r="D26" s="44"/>
      <c r="E26" s="44"/>
      <c r="F26" s="40"/>
      <c r="G26" s="498" t="str">
        <f>IF(弔事報告書!$F$27="","通夜に同じ",弔事報告書!$F$27)</f>
        <v>通夜に同じ</v>
      </c>
      <c r="H26" s="498"/>
      <c r="I26" s="498"/>
      <c r="J26" s="498"/>
      <c r="K26" s="498"/>
      <c r="L26" s="498"/>
      <c r="M26" s="498"/>
      <c r="N26" s="498"/>
      <c r="O26" s="498"/>
      <c r="P26" s="498"/>
      <c r="Q26" s="498"/>
      <c r="R26" s="498"/>
      <c r="S26" s="498"/>
      <c r="T26" s="498"/>
      <c r="U26" s="498"/>
      <c r="V26" s="498"/>
      <c r="W26" s="498"/>
      <c r="X26" s="498"/>
      <c r="Y26" s="498"/>
      <c r="Z26" s="498"/>
      <c r="AA26" s="498"/>
      <c r="AB26" s="498"/>
      <c r="AC26" s="498"/>
      <c r="AD26" s="498"/>
      <c r="AE26" s="498"/>
      <c r="AF26" s="498"/>
      <c r="AG26" s="498"/>
      <c r="AH26" s="498"/>
      <c r="AI26" s="498"/>
      <c r="AJ26" s="16"/>
      <c r="AK26" s="16"/>
      <c r="AL26" s="19"/>
      <c r="AM26" s="19"/>
      <c r="AN26" s="19"/>
      <c r="AO26" s="19"/>
    </row>
    <row r="27" spans="1:42" ht="16.5">
      <c r="A27" s="16"/>
      <c r="B27" s="18"/>
      <c r="C27" s="16"/>
      <c r="D27" s="18"/>
      <c r="E27" s="41"/>
      <c r="F27" s="16"/>
      <c r="G27" s="16"/>
      <c r="H27" s="16"/>
      <c r="I27" s="16"/>
      <c r="J27" s="16"/>
      <c r="K27" s="16"/>
      <c r="L27" s="16"/>
      <c r="M27" s="16"/>
      <c r="N27" s="16"/>
      <c r="O27" s="16"/>
      <c r="P27" s="16"/>
      <c r="Q27" s="16"/>
      <c r="R27" s="16"/>
      <c r="S27" s="46"/>
      <c r="T27" s="16"/>
      <c r="U27" s="16"/>
      <c r="V27" s="16"/>
      <c r="W27" s="16"/>
      <c r="X27" s="16"/>
      <c r="Y27" s="16"/>
      <c r="Z27" s="16"/>
      <c r="AA27" s="16"/>
      <c r="AB27" s="16"/>
      <c r="AC27" s="16"/>
      <c r="AD27" s="16"/>
      <c r="AE27" s="16"/>
      <c r="AF27" s="16"/>
      <c r="AG27" s="16"/>
      <c r="AH27" s="16"/>
      <c r="AI27" s="16"/>
      <c r="AJ27" s="16"/>
      <c r="AK27" s="16"/>
      <c r="AL27" s="19"/>
      <c r="AM27" s="19"/>
      <c r="AN27" s="19"/>
      <c r="AO27" s="19"/>
    </row>
    <row r="28" spans="1:42" ht="18.75">
      <c r="A28" s="16"/>
      <c r="B28" s="18"/>
      <c r="C28" s="16"/>
      <c r="D28" s="44"/>
      <c r="E28" s="40"/>
      <c r="F28" s="40"/>
      <c r="G28" s="498">
        <f>弔事報告書!$F$28</f>
        <v>0</v>
      </c>
      <c r="H28" s="498"/>
      <c r="I28" s="498"/>
      <c r="J28" s="498"/>
      <c r="K28" s="498"/>
      <c r="L28" s="498"/>
      <c r="M28" s="498"/>
      <c r="N28" s="498"/>
      <c r="O28" s="498"/>
      <c r="P28" s="498"/>
      <c r="Q28" s="498"/>
      <c r="R28" s="498"/>
      <c r="S28" s="498"/>
      <c r="T28" s="498"/>
      <c r="U28" s="498"/>
      <c r="V28" s="498"/>
      <c r="W28" s="498"/>
      <c r="X28" s="498"/>
      <c r="Y28" s="498"/>
      <c r="Z28" s="498"/>
      <c r="AA28" s="498"/>
      <c r="AB28" s="498"/>
      <c r="AC28" s="498"/>
      <c r="AD28" s="498"/>
      <c r="AE28" s="498"/>
      <c r="AF28" s="498"/>
      <c r="AG28" s="498"/>
      <c r="AH28" s="498"/>
      <c r="AI28" s="498"/>
      <c r="AJ28" s="16"/>
      <c r="AK28" s="16"/>
      <c r="AL28" s="19"/>
      <c r="AM28" s="19"/>
      <c r="AN28" s="19"/>
      <c r="AO28" s="19"/>
    </row>
    <row r="29" spans="1:42" ht="16.5">
      <c r="A29" s="16"/>
      <c r="B29" s="18"/>
      <c r="C29" s="16"/>
      <c r="D29" s="41"/>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9"/>
      <c r="AM29" s="19"/>
      <c r="AN29" s="19"/>
      <c r="AO29" s="19"/>
    </row>
    <row r="30" spans="1:42" ht="18.75">
      <c r="A30" s="16"/>
      <c r="B30" s="18" t="s">
        <v>226</v>
      </c>
      <c r="C30" s="16"/>
      <c r="D30" s="44"/>
      <c r="E30" s="44"/>
      <c r="F30" s="44"/>
      <c r="G30" s="44" t="s">
        <v>54</v>
      </c>
      <c r="H30" s="505">
        <f>弔事報告書!$Q$26</f>
        <v>0</v>
      </c>
      <c r="I30" s="505"/>
      <c r="J30" s="505"/>
      <c r="K30" s="505"/>
      <c r="L30" s="505"/>
      <c r="M30" s="505"/>
      <c r="N30" s="44" t="s">
        <v>55</v>
      </c>
      <c r="O30" s="44"/>
      <c r="P30" s="505">
        <f>弔事報告書!$T$26</f>
        <v>0</v>
      </c>
      <c r="Q30" s="505"/>
      <c r="R30" s="505"/>
      <c r="S30" s="505"/>
      <c r="T30" s="44"/>
      <c r="U30" s="506" t="s">
        <v>227</v>
      </c>
      <c r="V30" s="506"/>
      <c r="W30" s="44"/>
      <c r="X30" s="507">
        <f>弔事報告書!$W$26</f>
        <v>0</v>
      </c>
      <c r="Y30" s="507"/>
      <c r="Z30" s="507"/>
      <c r="AA30" s="507"/>
      <c r="AB30" s="507"/>
      <c r="AC30" s="507"/>
      <c r="AD30" s="507"/>
      <c r="AE30" s="507"/>
      <c r="AF30" s="507"/>
      <c r="AG30" s="507"/>
      <c r="AH30" s="507"/>
      <c r="AI30" s="507"/>
      <c r="AJ30" s="16"/>
      <c r="AK30" s="16"/>
      <c r="AL30" s="19"/>
      <c r="AM30" s="19"/>
      <c r="AN30" s="19"/>
      <c r="AO30" s="19"/>
    </row>
    <row r="31" spans="1:42" ht="16.5">
      <c r="A31" s="19"/>
      <c r="B31" s="19"/>
      <c r="C31" s="19"/>
      <c r="D31" s="47"/>
      <c r="E31" s="19"/>
      <c r="F31" s="497" t="str">
        <f>弔事報告書!$F$29</f>
        <v/>
      </c>
      <c r="G31" s="497"/>
      <c r="H31" s="497"/>
      <c r="I31" s="497"/>
      <c r="J31" s="497"/>
      <c r="K31" s="497"/>
      <c r="L31" s="497"/>
      <c r="M31" s="497"/>
      <c r="N31" s="497"/>
      <c r="O31" s="497"/>
      <c r="P31" s="497"/>
      <c r="Q31" s="497"/>
      <c r="R31" s="19"/>
      <c r="S31" s="48"/>
      <c r="T31" s="19"/>
      <c r="U31" s="19"/>
      <c r="V31" s="19"/>
      <c r="W31" s="19"/>
      <c r="X31" s="503" t="str">
        <f>弔事報告書!$F$15</f>
        <v/>
      </c>
      <c r="Y31" s="503"/>
      <c r="Z31" s="503"/>
      <c r="AA31" s="503"/>
      <c r="AB31" s="503"/>
      <c r="AC31" s="503"/>
      <c r="AD31" s="503"/>
      <c r="AE31" s="503"/>
      <c r="AF31" s="503"/>
      <c r="AG31" s="503"/>
      <c r="AH31" s="19"/>
      <c r="AI31" s="19"/>
      <c r="AJ31" s="19"/>
      <c r="AK31" s="19"/>
      <c r="AL31" s="19"/>
      <c r="AM31" s="19"/>
      <c r="AN31" s="19"/>
      <c r="AO31" s="19"/>
    </row>
    <row r="32" spans="1:42" ht="21">
      <c r="A32" s="19"/>
      <c r="B32" s="49" t="s">
        <v>235</v>
      </c>
      <c r="C32" s="19"/>
      <c r="D32" s="50"/>
      <c r="E32" s="51"/>
      <c r="F32" s="498">
        <f>弔事報告書!$F$30</f>
        <v>0</v>
      </c>
      <c r="G32" s="498"/>
      <c r="H32" s="498"/>
      <c r="I32" s="498"/>
      <c r="J32" s="498"/>
      <c r="K32" s="498"/>
      <c r="L32" s="498"/>
      <c r="M32" s="498"/>
      <c r="N32" s="498"/>
      <c r="O32" s="498"/>
      <c r="P32" s="498"/>
      <c r="Q32" s="498"/>
      <c r="R32" s="52" t="s">
        <v>236</v>
      </c>
      <c r="S32" s="51"/>
      <c r="T32" s="52"/>
      <c r="U32" s="49" t="s">
        <v>237</v>
      </c>
      <c r="V32" s="19"/>
      <c r="W32" s="19"/>
      <c r="X32" s="502">
        <f>弔事報告書!$F$16</f>
        <v>0</v>
      </c>
      <c r="Y32" s="502"/>
      <c r="Z32" s="502"/>
      <c r="AA32" s="502"/>
      <c r="AB32" s="502"/>
      <c r="AC32" s="502"/>
      <c r="AD32" s="502"/>
      <c r="AE32" s="502"/>
      <c r="AF32" s="502"/>
      <c r="AG32" s="502"/>
      <c r="AH32" s="52" t="s">
        <v>236</v>
      </c>
      <c r="AI32" s="243"/>
      <c r="AJ32" s="19"/>
      <c r="AK32" s="19"/>
      <c r="AL32" s="19"/>
      <c r="AM32" s="19"/>
      <c r="AN32" s="19"/>
      <c r="AO32" s="19"/>
    </row>
    <row r="33" spans="1:41" ht="21">
      <c r="A33" s="19"/>
      <c r="B33" s="19"/>
      <c r="C33" s="19"/>
      <c r="D33" s="53"/>
      <c r="E33" s="19"/>
      <c r="F33" s="54"/>
      <c r="G33" s="55"/>
      <c r="H33" s="19"/>
      <c r="I33" s="19"/>
      <c r="J33" s="19"/>
      <c r="K33" s="19"/>
      <c r="L33" s="19"/>
      <c r="M33" s="19"/>
      <c r="N33" s="19"/>
      <c r="O33" s="19"/>
      <c r="P33" s="19"/>
      <c r="Q33" s="19"/>
      <c r="R33" s="19"/>
      <c r="S33" s="48"/>
      <c r="T33" s="19"/>
      <c r="U33" s="19" t="s">
        <v>238</v>
      </c>
      <c r="V33" s="19"/>
      <c r="W33" s="19"/>
      <c r="X33" s="19"/>
      <c r="Y33" s="19"/>
      <c r="Z33" s="19"/>
      <c r="AA33" s="503">
        <f>弔事報告書!$AA$29</f>
        <v>0</v>
      </c>
      <c r="AB33" s="503"/>
      <c r="AC33" s="503"/>
      <c r="AD33" s="503"/>
      <c r="AE33" s="503"/>
      <c r="AF33" s="503"/>
      <c r="AG33" s="503"/>
      <c r="AH33" s="19"/>
      <c r="AI33" s="19"/>
      <c r="AJ33" s="19"/>
      <c r="AK33" s="19"/>
      <c r="AL33" s="19"/>
      <c r="AM33" s="19"/>
      <c r="AN33" s="19"/>
      <c r="AO33" s="19"/>
    </row>
    <row r="34" spans="1:41" ht="21">
      <c r="A34" s="19"/>
      <c r="B34" s="49" t="s">
        <v>239</v>
      </c>
      <c r="C34" s="19"/>
      <c r="D34" s="51"/>
      <c r="E34" s="51"/>
      <c r="F34" s="498" t="str">
        <f>TRIM(弔事報告書!$AQ$17)</f>
        <v/>
      </c>
      <c r="G34" s="498"/>
      <c r="H34" s="498"/>
      <c r="I34" s="498"/>
      <c r="J34" s="498"/>
      <c r="K34" s="498"/>
      <c r="L34" s="498"/>
      <c r="M34" s="498"/>
      <c r="N34" s="498"/>
      <c r="O34" s="498"/>
      <c r="P34" s="498"/>
      <c r="Q34" s="498"/>
      <c r="R34" s="498"/>
      <c r="S34" s="498"/>
      <c r="T34" s="501" t="str">
        <f>IF(F34="","※必須入力です","")</f>
        <v>※必須入力です</v>
      </c>
      <c r="U34" s="501"/>
      <c r="V34" s="501"/>
      <c r="W34" s="501"/>
      <c r="X34" s="501"/>
      <c r="Y34" s="501"/>
      <c r="Z34" s="501"/>
      <c r="AA34" s="501"/>
      <c r="AB34" s="501"/>
      <c r="AC34" s="501"/>
      <c r="AD34" s="501"/>
      <c r="AE34" s="501"/>
      <c r="AF34" s="501"/>
      <c r="AG34" s="501"/>
      <c r="AH34" s="501"/>
      <c r="AI34" s="501"/>
      <c r="AJ34" s="19"/>
      <c r="AK34" s="19"/>
      <c r="AL34" s="19"/>
      <c r="AM34" s="19"/>
      <c r="AN34" s="19"/>
      <c r="AO34" s="19"/>
    </row>
    <row r="35" spans="1:41" ht="16.5">
      <c r="A35" s="19"/>
      <c r="B35" s="19"/>
      <c r="C35" s="19"/>
      <c r="D35" s="56"/>
      <c r="E35" s="56"/>
      <c r="F35" s="56"/>
      <c r="G35" s="56"/>
      <c r="H35" s="56"/>
      <c r="I35" s="56"/>
      <c r="J35" s="56"/>
      <c r="K35" s="56"/>
      <c r="L35" s="56"/>
      <c r="M35" s="48"/>
      <c r="N35" s="48"/>
      <c r="O35" s="48"/>
      <c r="P35" s="48"/>
      <c r="Q35" s="48"/>
      <c r="R35" s="48"/>
      <c r="S35" s="48"/>
      <c r="T35" s="19"/>
      <c r="U35" s="19"/>
      <c r="V35" s="19"/>
      <c r="W35" s="19"/>
      <c r="X35" s="19"/>
      <c r="Y35" s="19"/>
      <c r="Z35" s="19"/>
      <c r="AA35" s="19"/>
      <c r="AB35" s="19"/>
      <c r="AC35" s="19"/>
      <c r="AD35" s="19"/>
      <c r="AE35" s="19"/>
      <c r="AF35" s="19"/>
      <c r="AG35" s="19"/>
      <c r="AH35" s="19"/>
      <c r="AI35" s="19"/>
      <c r="AJ35" s="19"/>
      <c r="AK35" s="19"/>
      <c r="AL35" s="19"/>
      <c r="AM35" s="19"/>
      <c r="AN35" s="19"/>
      <c r="AO35" s="19"/>
    </row>
    <row r="36" spans="1:41" ht="16.5">
      <c r="A36" s="57"/>
      <c r="B36" s="70" t="s">
        <v>240</v>
      </c>
      <c r="C36" s="70"/>
      <c r="D36" s="71"/>
      <c r="E36" s="72"/>
      <c r="F36" s="70"/>
      <c r="G36" s="70"/>
      <c r="H36" s="70"/>
      <c r="I36" s="70"/>
      <c r="J36" s="70"/>
      <c r="K36" s="70"/>
      <c r="L36" s="70"/>
      <c r="M36" s="72"/>
      <c r="N36" s="72"/>
      <c r="O36" s="72"/>
      <c r="P36" s="72"/>
      <c r="Q36" s="72"/>
      <c r="R36" s="72"/>
      <c r="S36" s="72"/>
      <c r="T36" s="71"/>
      <c r="U36" s="71"/>
      <c r="V36" s="71"/>
      <c r="W36" s="71"/>
      <c r="X36" s="71"/>
      <c r="Y36" s="71"/>
      <c r="Z36" s="71"/>
      <c r="AA36" s="71"/>
      <c r="AB36" s="71"/>
      <c r="AC36" s="71"/>
      <c r="AD36" s="71"/>
      <c r="AE36" s="71"/>
      <c r="AF36" s="71"/>
      <c r="AG36" s="71"/>
      <c r="AH36" s="71"/>
      <c r="AI36" s="71"/>
      <c r="AJ36" s="71"/>
      <c r="AK36" s="19"/>
      <c r="AL36" s="21"/>
      <c r="AM36" s="21"/>
      <c r="AN36" s="19"/>
      <c r="AO36" s="19"/>
    </row>
    <row r="37" spans="1:41" ht="16.5">
      <c r="A37" s="57"/>
      <c r="B37" s="56"/>
      <c r="C37" s="56"/>
      <c r="D37" s="19"/>
      <c r="E37" s="48"/>
      <c r="F37" s="56" t="s">
        <v>241</v>
      </c>
      <c r="G37" s="48"/>
      <c r="H37" s="48"/>
      <c r="I37" s="48"/>
      <c r="J37" s="48"/>
      <c r="K37" s="499"/>
      <c r="L37" s="499"/>
      <c r="M37" s="499"/>
      <c r="N37" s="499"/>
      <c r="O37" s="499"/>
      <c r="P37" s="499"/>
      <c r="Q37" s="499"/>
      <c r="R37" s="499"/>
      <c r="S37" s="499"/>
      <c r="T37" s="184"/>
      <c r="U37" s="184"/>
      <c r="V37" s="184" t="s">
        <v>242</v>
      </c>
      <c r="W37" s="184"/>
      <c r="X37" s="184"/>
      <c r="Y37" s="500"/>
      <c r="Z37" s="500"/>
      <c r="AA37" s="500"/>
      <c r="AB37" s="500"/>
      <c r="AC37" s="500"/>
      <c r="AD37" s="500"/>
      <c r="AE37" s="500"/>
      <c r="AF37" s="500"/>
      <c r="AG37" s="500"/>
      <c r="AH37" s="500"/>
      <c r="AI37" s="500"/>
      <c r="AJ37" s="500"/>
      <c r="AK37" s="19"/>
      <c r="AL37" s="21"/>
      <c r="AM37" s="21"/>
      <c r="AN37" s="19"/>
      <c r="AO37" s="19"/>
    </row>
    <row r="38" spans="1:41" ht="8.25" customHeight="1">
      <c r="A38" s="19"/>
      <c r="B38" s="56"/>
      <c r="C38" s="48"/>
      <c r="D38" s="60"/>
      <c r="E38" s="60"/>
      <c r="F38" s="56"/>
      <c r="G38" s="48"/>
      <c r="H38" s="48"/>
      <c r="I38" s="48"/>
      <c r="J38" s="48"/>
      <c r="K38" s="48"/>
      <c r="L38" s="58"/>
      <c r="M38" s="48"/>
      <c r="N38" s="48"/>
      <c r="O38" s="48"/>
      <c r="P38" s="48"/>
      <c r="Q38" s="59"/>
      <c r="R38" s="48"/>
      <c r="S38" s="48"/>
      <c r="T38" s="56"/>
      <c r="U38" s="56"/>
      <c r="V38" s="56"/>
      <c r="W38" s="56"/>
      <c r="X38" s="56"/>
      <c r="Y38" s="56"/>
      <c r="Z38" s="56"/>
      <c r="AA38" s="56"/>
      <c r="AB38" s="56"/>
      <c r="AC38" s="56"/>
      <c r="AD38" s="56"/>
      <c r="AE38" s="56"/>
      <c r="AF38" s="56"/>
      <c r="AG38" s="56"/>
      <c r="AH38" s="56"/>
      <c r="AI38" s="56"/>
      <c r="AJ38" s="19"/>
      <c r="AK38" s="19"/>
      <c r="AL38" s="21"/>
      <c r="AM38" s="21"/>
      <c r="AN38" s="19"/>
      <c r="AO38" s="19"/>
    </row>
    <row r="39" spans="1:41" ht="16.5">
      <c r="A39" s="57"/>
      <c r="B39" s="56"/>
      <c r="C39" s="56"/>
      <c r="D39" s="19"/>
      <c r="E39" s="48"/>
      <c r="F39" s="56" t="s">
        <v>243</v>
      </c>
      <c r="G39" s="48"/>
      <c r="H39" s="48"/>
      <c r="I39" s="48"/>
      <c r="J39" s="48"/>
      <c r="K39" s="492">
        <f>弔事報告書!$AC$57</f>
        <v>0</v>
      </c>
      <c r="L39" s="492"/>
      <c r="M39" s="492"/>
      <c r="N39" s="492"/>
      <c r="O39" s="492"/>
      <c r="P39" s="492"/>
      <c r="Q39" s="492"/>
      <c r="R39" s="492"/>
      <c r="S39" s="492"/>
      <c r="T39" s="492"/>
      <c r="U39" s="492"/>
      <c r="V39" s="492"/>
      <c r="W39" s="492"/>
      <c r="X39" s="492"/>
      <c r="Y39" s="492"/>
      <c r="Z39" s="492"/>
      <c r="AA39" s="492"/>
      <c r="AB39" s="492"/>
      <c r="AC39" s="492"/>
      <c r="AD39" s="492"/>
      <c r="AE39" s="492"/>
      <c r="AF39" s="492"/>
      <c r="AG39" s="492"/>
      <c r="AH39" s="492"/>
      <c r="AI39" s="492"/>
      <c r="AJ39" s="492"/>
      <c r="AK39" s="19"/>
      <c r="AL39" s="21"/>
      <c r="AM39" s="21"/>
      <c r="AN39" s="19"/>
      <c r="AO39" s="19"/>
    </row>
    <row r="40" spans="1:41" ht="8.25" customHeight="1">
      <c r="A40" s="19"/>
      <c r="B40" s="56"/>
      <c r="C40" s="48"/>
      <c r="D40" s="60"/>
      <c r="E40" s="60"/>
      <c r="F40" s="56"/>
      <c r="G40" s="48"/>
      <c r="H40" s="48"/>
      <c r="I40" s="48"/>
      <c r="J40" s="48"/>
      <c r="K40" s="48"/>
      <c r="L40" s="58"/>
      <c r="M40" s="48"/>
      <c r="N40" s="48"/>
      <c r="O40" s="48"/>
      <c r="P40" s="48"/>
      <c r="Q40" s="59"/>
      <c r="R40" s="48"/>
      <c r="S40" s="48"/>
      <c r="T40" s="56"/>
      <c r="U40" s="56"/>
      <c r="V40" s="56"/>
      <c r="W40" s="56"/>
      <c r="X40" s="56"/>
      <c r="Y40" s="56"/>
      <c r="Z40" s="56"/>
      <c r="AA40" s="56"/>
      <c r="AB40" s="56"/>
      <c r="AC40" s="56"/>
      <c r="AD40" s="56"/>
      <c r="AE40" s="56"/>
      <c r="AF40" s="56"/>
      <c r="AG40" s="56"/>
      <c r="AH40" s="56"/>
      <c r="AI40" s="56"/>
      <c r="AJ40" s="19"/>
      <c r="AK40" s="19"/>
      <c r="AL40" s="21"/>
      <c r="AM40" s="21"/>
      <c r="AN40" s="19"/>
      <c r="AO40" s="19"/>
    </row>
    <row r="41" spans="1:41" ht="18.75">
      <c r="A41" s="19"/>
      <c r="B41" s="56"/>
      <c r="C41" s="48"/>
      <c r="D41" s="60"/>
      <c r="E41" s="60"/>
      <c r="F41" s="56" t="s">
        <v>244</v>
      </c>
      <c r="G41" s="19"/>
      <c r="H41" s="61"/>
      <c r="I41" s="56"/>
      <c r="J41" s="56"/>
      <c r="K41" s="492">
        <f>弔事報告書!$AC$55</f>
        <v>0</v>
      </c>
      <c r="L41" s="492"/>
      <c r="M41" s="492"/>
      <c r="N41" s="492"/>
      <c r="O41" s="492"/>
      <c r="P41" s="492"/>
      <c r="Q41" s="492"/>
      <c r="R41" s="492"/>
      <c r="S41" s="492"/>
      <c r="T41" s="56"/>
      <c r="U41" s="493" t="s">
        <v>245</v>
      </c>
      <c r="V41" s="493"/>
      <c r="W41" s="493"/>
      <c r="X41" s="493"/>
      <c r="Y41" s="494">
        <f>弔事報告書!$AC$61</f>
        <v>0</v>
      </c>
      <c r="Z41" s="495"/>
      <c r="AA41" s="495"/>
      <c r="AB41" s="495"/>
      <c r="AC41" s="495"/>
      <c r="AD41" s="495"/>
      <c r="AE41" s="495"/>
      <c r="AF41" s="495"/>
      <c r="AG41" s="495"/>
      <c r="AH41" s="495"/>
      <c r="AI41" s="495"/>
      <c r="AJ41" s="495"/>
      <c r="AK41" s="19"/>
      <c r="AL41" s="21"/>
      <c r="AM41" s="21"/>
      <c r="AN41" s="19"/>
      <c r="AO41" s="19"/>
    </row>
    <row r="42" spans="1:41" ht="8.25" customHeight="1">
      <c r="A42" s="19"/>
      <c r="B42" s="19"/>
      <c r="C42" s="62"/>
      <c r="D42" s="19"/>
      <c r="E42" s="48"/>
      <c r="F42" s="56"/>
      <c r="G42" s="19"/>
      <c r="H42" s="61"/>
      <c r="I42" s="56"/>
      <c r="J42" s="56"/>
      <c r="K42" s="56"/>
      <c r="L42" s="56"/>
      <c r="M42" s="56"/>
      <c r="N42" s="56"/>
      <c r="O42" s="56"/>
      <c r="P42" s="56"/>
      <c r="Q42" s="56"/>
      <c r="R42" s="56"/>
      <c r="S42" s="48"/>
      <c r="T42" s="48"/>
      <c r="U42" s="19"/>
      <c r="V42" s="19"/>
      <c r="W42" s="19"/>
      <c r="X42" s="19"/>
      <c r="Y42" s="19"/>
      <c r="Z42" s="19"/>
      <c r="AA42" s="19"/>
      <c r="AB42" s="19"/>
      <c r="AC42" s="19"/>
      <c r="AD42" s="19"/>
      <c r="AE42" s="19"/>
      <c r="AF42" s="19"/>
      <c r="AG42" s="19"/>
      <c r="AH42" s="19"/>
      <c r="AI42" s="19"/>
      <c r="AJ42" s="19"/>
      <c r="AK42" s="19"/>
      <c r="AL42" s="19"/>
      <c r="AM42" s="19"/>
      <c r="AN42" s="19"/>
      <c r="AO42" s="19"/>
    </row>
    <row r="43" spans="1:41" ht="16.5">
      <c r="A43" s="19"/>
      <c r="B43" s="70" t="s">
        <v>246</v>
      </c>
      <c r="C43" s="71"/>
      <c r="D43" s="71"/>
      <c r="E43" s="71"/>
      <c r="F43" s="71"/>
      <c r="G43" s="71"/>
      <c r="H43" s="72"/>
      <c r="I43" s="72"/>
      <c r="J43" s="72"/>
      <c r="K43" s="496" t="s">
        <v>247</v>
      </c>
      <c r="L43" s="496"/>
      <c r="M43" s="496"/>
      <c r="N43" s="496"/>
      <c r="O43" s="496"/>
      <c r="P43" s="496"/>
      <c r="Q43" s="496"/>
      <c r="R43" s="496"/>
      <c r="S43" s="496"/>
      <c r="T43" s="496"/>
      <c r="U43" s="496"/>
      <c r="V43" s="496"/>
      <c r="W43" s="496"/>
      <c r="X43" s="496"/>
      <c r="Y43" s="496"/>
      <c r="Z43" s="496"/>
      <c r="AA43" s="496"/>
      <c r="AB43" s="496"/>
      <c r="AC43" s="496"/>
      <c r="AD43" s="496"/>
      <c r="AE43" s="496"/>
      <c r="AF43" s="496"/>
      <c r="AG43" s="496"/>
      <c r="AH43" s="496"/>
      <c r="AI43" s="496"/>
      <c r="AJ43" s="496"/>
      <c r="AK43" s="19"/>
      <c r="AL43" s="19"/>
      <c r="AM43" s="19"/>
      <c r="AN43" s="19"/>
      <c r="AO43" s="19"/>
    </row>
    <row r="44" spans="1:41" ht="16.5" customHeight="1">
      <c r="A44" s="57"/>
      <c r="B44" s="56"/>
      <c r="C44" s="514" t="s">
        <v>248</v>
      </c>
      <c r="D44" s="514"/>
      <c r="E44" s="514"/>
      <c r="F44" s="56" t="s">
        <v>249</v>
      </c>
      <c r="G44" s="19"/>
      <c r="H44" s="19"/>
      <c r="I44" s="19"/>
      <c r="J44" s="19"/>
      <c r="K44" s="19"/>
      <c r="L44" s="19"/>
      <c r="M44" s="19"/>
      <c r="N44" s="19"/>
      <c r="O44" s="19"/>
      <c r="P44" s="19"/>
      <c r="Q44" s="19"/>
      <c r="R44" s="19"/>
      <c r="S44" s="19"/>
      <c r="T44" s="19"/>
      <c r="U44" s="19"/>
      <c r="V44" s="19"/>
      <c r="W44" s="516"/>
      <c r="X44" s="516"/>
      <c r="Y44" s="56" t="s">
        <v>250</v>
      </c>
      <c r="Z44" s="19"/>
      <c r="AA44" s="19"/>
      <c r="AB44" s="19"/>
      <c r="AC44" s="19"/>
      <c r="AD44" s="19"/>
      <c r="AE44" s="19"/>
      <c r="AF44" s="19"/>
      <c r="AG44" s="19"/>
      <c r="AH44" s="19"/>
      <c r="AI44" s="19"/>
      <c r="AJ44" s="19"/>
      <c r="AK44" s="19"/>
      <c r="AL44" s="19"/>
      <c r="AM44" s="19"/>
      <c r="AN44" s="19"/>
      <c r="AO44" s="19"/>
    </row>
    <row r="45" spans="1:41" ht="16.5">
      <c r="A45" s="57"/>
      <c r="B45" s="56"/>
      <c r="C45" s="514"/>
      <c r="D45" s="514"/>
      <c r="E45" s="514"/>
      <c r="F45" s="56" t="s">
        <v>241</v>
      </c>
      <c r="G45" s="48"/>
      <c r="H45" s="48"/>
      <c r="I45" s="48"/>
      <c r="J45" s="48"/>
      <c r="K45" s="499" t="s">
        <v>251</v>
      </c>
      <c r="L45" s="499"/>
      <c r="M45" s="499"/>
      <c r="N45" s="499"/>
      <c r="O45" s="499"/>
      <c r="P45" s="499"/>
      <c r="Q45" s="499"/>
      <c r="R45" s="499"/>
      <c r="S45" s="499"/>
      <c r="T45" s="184"/>
      <c r="U45" s="184"/>
      <c r="V45" s="184" t="s">
        <v>242</v>
      </c>
      <c r="W45" s="184"/>
      <c r="X45" s="184"/>
      <c r="Y45" s="500" t="s">
        <v>252</v>
      </c>
      <c r="Z45" s="500"/>
      <c r="AA45" s="500"/>
      <c r="AB45" s="500"/>
      <c r="AC45" s="500"/>
      <c r="AD45" s="500"/>
      <c r="AE45" s="500"/>
      <c r="AF45" s="500"/>
      <c r="AG45" s="500"/>
      <c r="AH45" s="500"/>
      <c r="AI45" s="500"/>
      <c r="AJ45" s="500"/>
      <c r="AK45" s="19"/>
      <c r="AL45" s="21"/>
      <c r="AM45" s="21"/>
      <c r="AN45" s="19"/>
      <c r="AO45" s="19"/>
    </row>
    <row r="46" spans="1:41" ht="8.25" customHeight="1">
      <c r="A46" s="19"/>
      <c r="B46" s="56"/>
      <c r="C46" s="514"/>
      <c r="D46" s="514"/>
      <c r="E46" s="514"/>
      <c r="F46" s="56"/>
      <c r="G46" s="48"/>
      <c r="H46" s="48"/>
      <c r="I46" s="48"/>
      <c r="J46" s="48"/>
      <c r="K46" s="48"/>
      <c r="L46" s="58"/>
      <c r="M46" s="48"/>
      <c r="N46" s="48"/>
      <c r="O46" s="48"/>
      <c r="P46" s="48"/>
      <c r="Q46" s="59"/>
      <c r="R46" s="48"/>
      <c r="S46" s="48"/>
      <c r="T46" s="56"/>
      <c r="U46" s="56"/>
      <c r="V46" s="56"/>
      <c r="W46" s="56"/>
      <c r="X46" s="56"/>
      <c r="Y46" s="56"/>
      <c r="Z46" s="56"/>
      <c r="AA46" s="56"/>
      <c r="AB46" s="56"/>
      <c r="AC46" s="56"/>
      <c r="AD46" s="56"/>
      <c r="AE46" s="56"/>
      <c r="AF46" s="56"/>
      <c r="AG46" s="56"/>
      <c r="AH46" s="56"/>
      <c r="AI46" s="56"/>
      <c r="AJ46" s="19"/>
      <c r="AK46" s="19"/>
      <c r="AL46" s="21"/>
      <c r="AM46" s="21"/>
      <c r="AN46" s="19"/>
      <c r="AO46" s="19"/>
    </row>
    <row r="47" spans="1:41" ht="16.5" customHeight="1">
      <c r="A47" s="57"/>
      <c r="B47" s="56"/>
      <c r="C47" s="514"/>
      <c r="D47" s="514"/>
      <c r="E47" s="514"/>
      <c r="F47" s="56" t="s">
        <v>243</v>
      </c>
      <c r="G47" s="48"/>
      <c r="H47" s="48"/>
      <c r="I47" s="48"/>
      <c r="J47" s="48"/>
      <c r="K47" s="517" t="s">
        <v>253</v>
      </c>
      <c r="L47" s="517"/>
      <c r="M47" s="517"/>
      <c r="N47" s="517"/>
      <c r="O47" s="517"/>
      <c r="P47" s="517"/>
      <c r="Q47" s="517"/>
      <c r="R47" s="517"/>
      <c r="S47" s="517"/>
      <c r="T47" s="517"/>
      <c r="U47" s="517"/>
      <c r="V47" s="517"/>
      <c r="W47" s="517"/>
      <c r="X47" s="517"/>
      <c r="Y47" s="517"/>
      <c r="Z47" s="517"/>
      <c r="AA47" s="517"/>
      <c r="AB47" s="517"/>
      <c r="AC47" s="517"/>
      <c r="AD47" s="517"/>
      <c r="AE47" s="517"/>
      <c r="AF47" s="517"/>
      <c r="AG47" s="517"/>
      <c r="AH47" s="517"/>
      <c r="AI47" s="517"/>
      <c r="AJ47" s="517"/>
      <c r="AK47" s="19"/>
      <c r="AL47" s="21"/>
      <c r="AM47" s="21"/>
      <c r="AN47" s="19"/>
      <c r="AO47" s="19"/>
    </row>
    <row r="48" spans="1:41" ht="8.25" customHeight="1">
      <c r="A48" s="19"/>
      <c r="B48" s="56"/>
      <c r="C48" s="514"/>
      <c r="D48" s="514"/>
      <c r="E48" s="514"/>
      <c r="F48" s="56"/>
      <c r="G48" s="48"/>
      <c r="H48" s="48"/>
      <c r="I48" s="48"/>
      <c r="J48" s="48"/>
      <c r="K48" s="48"/>
      <c r="L48" s="58"/>
      <c r="M48" s="48"/>
      <c r="N48" s="48"/>
      <c r="O48" s="48"/>
      <c r="P48" s="48"/>
      <c r="Q48" s="59"/>
      <c r="R48" s="48"/>
      <c r="S48" s="48"/>
      <c r="T48" s="56"/>
      <c r="U48" s="56"/>
      <c r="V48" s="56"/>
      <c r="W48" s="56"/>
      <c r="X48" s="56"/>
      <c r="Y48" s="56"/>
      <c r="Z48" s="56"/>
      <c r="AA48" s="56"/>
      <c r="AB48" s="56"/>
      <c r="AC48" s="56"/>
      <c r="AD48" s="56"/>
      <c r="AE48" s="56"/>
      <c r="AF48" s="56"/>
      <c r="AG48" s="56"/>
      <c r="AH48" s="56"/>
      <c r="AI48" s="56"/>
      <c r="AJ48" s="19"/>
      <c r="AK48" s="19"/>
      <c r="AL48" s="21"/>
      <c r="AM48" s="21"/>
      <c r="AN48" s="19"/>
      <c r="AO48" s="19"/>
    </row>
    <row r="49" spans="1:41" ht="18.75" customHeight="1">
      <c r="A49" s="19"/>
      <c r="B49" s="19"/>
      <c r="C49" s="514"/>
      <c r="D49" s="514"/>
      <c r="E49" s="514"/>
      <c r="F49" s="56" t="s">
        <v>244</v>
      </c>
      <c r="G49" s="19"/>
      <c r="H49" s="61"/>
      <c r="I49" s="56"/>
      <c r="J49" s="56"/>
      <c r="K49" s="499" t="s">
        <v>254</v>
      </c>
      <c r="L49" s="499"/>
      <c r="M49" s="499"/>
      <c r="N49" s="499"/>
      <c r="O49" s="499"/>
      <c r="P49" s="499"/>
      <c r="Q49" s="499"/>
      <c r="R49" s="499"/>
      <c r="S49" s="499"/>
      <c r="T49" s="56"/>
      <c r="U49" s="493" t="s">
        <v>245</v>
      </c>
      <c r="V49" s="493"/>
      <c r="W49" s="493"/>
      <c r="X49" s="493"/>
      <c r="Y49" s="500" t="s">
        <v>255</v>
      </c>
      <c r="Z49" s="500"/>
      <c r="AA49" s="500"/>
      <c r="AB49" s="500"/>
      <c r="AC49" s="500"/>
      <c r="AD49" s="500"/>
      <c r="AE49" s="500"/>
      <c r="AF49" s="500"/>
      <c r="AG49" s="500"/>
      <c r="AH49" s="500"/>
      <c r="AI49" s="500"/>
      <c r="AJ49" s="500"/>
      <c r="AK49" s="19"/>
      <c r="AL49" s="21"/>
      <c r="AM49" s="21"/>
      <c r="AN49" s="19"/>
      <c r="AO49" s="19"/>
    </row>
    <row r="50" spans="1:4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N50" s="19"/>
      <c r="AO50" s="19"/>
    </row>
    <row r="51" spans="1:41">
      <c r="AN51" s="19"/>
      <c r="AO51" s="19"/>
    </row>
  </sheetData>
  <mergeCells count="57">
    <mergeCell ref="K45:S45"/>
    <mergeCell ref="Y45:AJ45"/>
    <mergeCell ref="C44:E49"/>
    <mergeCell ref="R11:W11"/>
    <mergeCell ref="W44:X44"/>
    <mergeCell ref="K47:AJ47"/>
    <mergeCell ref="K49:S49"/>
    <mergeCell ref="U49:X49"/>
    <mergeCell ref="Y49:AJ49"/>
    <mergeCell ref="Y15:Z15"/>
    <mergeCell ref="G17:AI17"/>
    <mergeCell ref="G19:AI19"/>
    <mergeCell ref="H21:M21"/>
    <mergeCell ref="P21:S21"/>
    <mergeCell ref="U21:V21"/>
    <mergeCell ref="X21:AI21"/>
    <mergeCell ref="G15:H15"/>
    <mergeCell ref="I15:J15"/>
    <mergeCell ref="B1:E1"/>
    <mergeCell ref="S1:U1"/>
    <mergeCell ref="B2:AJ2"/>
    <mergeCell ref="B5:AJ5"/>
    <mergeCell ref="L3:AJ3"/>
    <mergeCell ref="K15:L15"/>
    <mergeCell ref="M15:N15"/>
    <mergeCell ref="Q15:R15"/>
    <mergeCell ref="V15:W15"/>
    <mergeCell ref="AA1:AC1"/>
    <mergeCell ref="AE1:AF1"/>
    <mergeCell ref="AH1:AI1"/>
    <mergeCell ref="Y24:Z24"/>
    <mergeCell ref="V24:W24"/>
    <mergeCell ref="G26:AI26"/>
    <mergeCell ref="G28:AI28"/>
    <mergeCell ref="H30:M30"/>
    <mergeCell ref="P30:S30"/>
    <mergeCell ref="U30:V30"/>
    <mergeCell ref="X30:AI30"/>
    <mergeCell ref="G24:H24"/>
    <mergeCell ref="I24:J24"/>
    <mergeCell ref="K24:L24"/>
    <mergeCell ref="M24:N24"/>
    <mergeCell ref="Q24:R24"/>
    <mergeCell ref="K41:S41"/>
    <mergeCell ref="U41:X41"/>
    <mergeCell ref="Y41:AJ41"/>
    <mergeCell ref="K43:AJ43"/>
    <mergeCell ref="F31:Q31"/>
    <mergeCell ref="F32:Q32"/>
    <mergeCell ref="F34:S34"/>
    <mergeCell ref="K39:AJ39"/>
    <mergeCell ref="K37:S37"/>
    <mergeCell ref="Y37:AJ37"/>
    <mergeCell ref="T34:AI34"/>
    <mergeCell ref="X32:AG32"/>
    <mergeCell ref="X31:AG31"/>
    <mergeCell ref="AA33:AG33"/>
  </mergeCells>
  <phoneticPr fontId="1"/>
  <conditionalFormatting sqref="B2:AJ2">
    <cfRule type="expression" dxfId="28" priority="14">
      <formula>$B$2=""</formula>
    </cfRule>
  </conditionalFormatting>
  <conditionalFormatting sqref="L3">
    <cfRule type="expression" dxfId="27" priority="112">
      <formula>$L$3=""</formula>
    </cfRule>
  </conditionalFormatting>
  <conditionalFormatting sqref="K47:AJ47">
    <cfRule type="expression" dxfId="26" priority="8">
      <formula>$K$47=""</formula>
    </cfRule>
  </conditionalFormatting>
  <conditionalFormatting sqref="K49:S49">
    <cfRule type="expression" dxfId="25" priority="7">
      <formula>$K$49=""</formula>
    </cfRule>
  </conditionalFormatting>
  <conditionalFormatting sqref="Y49:AJ49">
    <cfRule type="expression" dxfId="24" priority="6">
      <formula>$Y$49=""</formula>
    </cfRule>
  </conditionalFormatting>
  <conditionalFormatting sqref="K45:S45">
    <cfRule type="expression" dxfId="23" priority="5">
      <formula>$K$49=""</formula>
    </cfRule>
  </conditionalFormatting>
  <conditionalFormatting sqref="Y45:AJ45">
    <cfRule type="expression" dxfId="22" priority="4">
      <formula>$Y$49=""</formula>
    </cfRule>
  </conditionalFormatting>
  <conditionalFormatting sqref="K37:S37">
    <cfRule type="expression" dxfId="21" priority="3">
      <formula>$K$49=""</formula>
    </cfRule>
  </conditionalFormatting>
  <conditionalFormatting sqref="Y37:AJ37">
    <cfRule type="expression" dxfId="20" priority="2">
      <formula>$Y$49=""</formula>
    </cfRule>
  </conditionalFormatting>
  <conditionalFormatting sqref="T34:AI34">
    <cfRule type="expression" dxfId="19" priority="1">
      <formula>T34&lt;&gt;""</formula>
    </cfRule>
  </conditionalFormatting>
  <dataValidations count="3">
    <dataValidation type="list" allowBlank="1" showInputMessage="1" showErrorMessage="1" sqref="B2:AJ2" xr:uid="{00000000-0002-0000-0200-000000000000}">
      <formula1>$AN$6:$AN$15</formula1>
    </dataValidation>
    <dataValidation imeMode="halfAlpha" allowBlank="1" showInputMessage="1" showErrorMessage="1" sqref="Y49:AJ49 Y41:AJ41 Y45:AJ45 Y37:AJ37" xr:uid="{00000000-0002-0000-0200-000001000000}"/>
    <dataValidation type="list" allowBlank="1" showInputMessage="1" showErrorMessage="1" sqref="W44" xr:uid="{00000000-0002-0000-0200-000002000000}">
      <formula1>" レ"</formula1>
    </dataValidation>
  </dataValidations>
  <hyperlinks>
    <hyperlink ref="AO19" r:id="rId1" xr:uid="{00000000-0004-0000-0200-000000000000}"/>
    <hyperlink ref="AO20" r:id="rId2" xr:uid="{00000000-0004-0000-0200-000001000000}"/>
    <hyperlink ref="AO22" r:id="rId3" xr:uid="{00000000-0004-0000-0200-000002000000}"/>
    <hyperlink ref="AO23" r:id="rId4" xr:uid="{00000000-0004-0000-0200-000003000000}"/>
    <hyperlink ref="AO18" r:id="rId5" xr:uid="{00000000-0004-0000-0200-000004000000}"/>
  </hyperlinks>
  <printOptions horizontalCentered="1"/>
  <pageMargins left="0.70866141732283472" right="0.70866141732283472" top="0.74803149606299213" bottom="0.74803149606299213" header="0.31496062992125984" footer="0.31496062992125984"/>
  <pageSetup paperSize="9" scale="85" orientation="portrait" verticalDpi="0" r:id="rId6"/>
  <drawing r:id="rId7"/>
  <legacyDrawing r:id="rId8"/>
  <mc:AlternateContent xmlns:mc="http://schemas.openxmlformats.org/markup-compatibility/2006">
    <mc:Choice Requires="x14">
      <controls>
        <mc:AlternateContent xmlns:mc="http://schemas.openxmlformats.org/markup-compatibility/2006">
          <mc:Choice Requires="x14">
            <control shapeId="6858" r:id="rId9" name="Button 714">
              <controlPr defaultSize="0" print="0" autoFill="0" autoPict="0" macro="[0]!ボタン714_Click">
                <anchor moveWithCells="1" sizeWithCells="1">
                  <from>
                    <xdr:col>1</xdr:col>
                    <xdr:colOff>133350</xdr:colOff>
                    <xdr:row>4</xdr:row>
                    <xdr:rowOff>38100</xdr:rowOff>
                  </from>
                  <to>
                    <xdr:col>6</xdr:col>
                    <xdr:colOff>57150</xdr:colOff>
                    <xdr:row>5</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8"/>
    <pageSetUpPr fitToPage="1"/>
  </sheetPr>
  <dimension ref="A1:BY60"/>
  <sheetViews>
    <sheetView showGridLines="0" zoomScaleNormal="100" workbookViewId="0">
      <selection activeCell="U63" sqref="U63"/>
    </sheetView>
  </sheetViews>
  <sheetFormatPr defaultRowHeight="13.5"/>
  <cols>
    <col min="1" max="39" width="2.625" style="19" customWidth="1"/>
    <col min="40" max="40" width="39.125" style="19" bestFit="1" customWidth="1"/>
    <col min="41" max="41" width="77.875" style="19" customWidth="1"/>
    <col min="42" max="63" width="2.625" style="19" customWidth="1"/>
    <col min="64" max="218" width="9" style="19"/>
    <col min="219" max="219" width="4.375" style="19" customWidth="1"/>
    <col min="220" max="220" width="4.5" style="19" customWidth="1"/>
    <col min="221" max="221" width="6.625" style="19" customWidth="1"/>
    <col min="222" max="235" width="4.375" style="19" customWidth="1"/>
    <col min="236" max="236" width="4.25" style="19" customWidth="1"/>
    <col min="237" max="239" width="4.375" style="19" customWidth="1"/>
    <col min="240" max="240" width="4.25" style="19" customWidth="1"/>
    <col min="241" max="241" width="3.375" style="19" customWidth="1"/>
    <col min="242" max="474" width="9" style="19"/>
    <col min="475" max="475" width="4.375" style="19" customWidth="1"/>
    <col min="476" max="476" width="4.5" style="19" customWidth="1"/>
    <col min="477" max="477" width="6.625" style="19" customWidth="1"/>
    <col min="478" max="491" width="4.375" style="19" customWidth="1"/>
    <col min="492" max="492" width="4.25" style="19" customWidth="1"/>
    <col min="493" max="495" width="4.375" style="19" customWidth="1"/>
    <col min="496" max="496" width="4.25" style="19" customWidth="1"/>
    <col min="497" max="497" width="3.375" style="19" customWidth="1"/>
    <col min="498" max="730" width="9" style="19"/>
    <col min="731" max="731" width="4.375" style="19" customWidth="1"/>
    <col min="732" max="732" width="4.5" style="19" customWidth="1"/>
    <col min="733" max="733" width="6.625" style="19" customWidth="1"/>
    <col min="734" max="747" width="4.375" style="19" customWidth="1"/>
    <col min="748" max="748" width="4.25" style="19" customWidth="1"/>
    <col min="749" max="751" width="4.375" style="19" customWidth="1"/>
    <col min="752" max="752" width="4.25" style="19" customWidth="1"/>
    <col min="753" max="753" width="3.375" style="19" customWidth="1"/>
    <col min="754" max="986" width="9" style="19"/>
    <col min="987" max="987" width="4.375" style="19" customWidth="1"/>
    <col min="988" max="988" width="4.5" style="19" customWidth="1"/>
    <col min="989" max="989" width="6.625" style="19" customWidth="1"/>
    <col min="990" max="1003" width="4.375" style="19" customWidth="1"/>
    <col min="1004" max="1004" width="4.25" style="19" customWidth="1"/>
    <col min="1005" max="1007" width="4.375" style="19" customWidth="1"/>
    <col min="1008" max="1008" width="4.25" style="19" customWidth="1"/>
    <col min="1009" max="1009" width="3.375" style="19" customWidth="1"/>
    <col min="1010" max="1242" width="9" style="19"/>
    <col min="1243" max="1243" width="4.375" style="19" customWidth="1"/>
    <col min="1244" max="1244" width="4.5" style="19" customWidth="1"/>
    <col min="1245" max="1245" width="6.625" style="19" customWidth="1"/>
    <col min="1246" max="1259" width="4.375" style="19" customWidth="1"/>
    <col min="1260" max="1260" width="4.25" style="19" customWidth="1"/>
    <col min="1261" max="1263" width="4.375" style="19" customWidth="1"/>
    <col min="1264" max="1264" width="4.25" style="19" customWidth="1"/>
    <col min="1265" max="1265" width="3.375" style="19" customWidth="1"/>
    <col min="1266" max="1498" width="9" style="19"/>
    <col min="1499" max="1499" width="4.375" style="19" customWidth="1"/>
    <col min="1500" max="1500" width="4.5" style="19" customWidth="1"/>
    <col min="1501" max="1501" width="6.625" style="19" customWidth="1"/>
    <col min="1502" max="1515" width="4.375" style="19" customWidth="1"/>
    <col min="1516" max="1516" width="4.25" style="19" customWidth="1"/>
    <col min="1517" max="1519" width="4.375" style="19" customWidth="1"/>
    <col min="1520" max="1520" width="4.25" style="19" customWidth="1"/>
    <col min="1521" max="1521" width="3.375" style="19" customWidth="1"/>
    <col min="1522" max="1754" width="9" style="19"/>
    <col min="1755" max="1755" width="4.375" style="19" customWidth="1"/>
    <col min="1756" max="1756" width="4.5" style="19" customWidth="1"/>
    <col min="1757" max="1757" width="6.625" style="19" customWidth="1"/>
    <col min="1758" max="1771" width="4.375" style="19" customWidth="1"/>
    <col min="1772" max="1772" width="4.25" style="19" customWidth="1"/>
    <col min="1773" max="1775" width="4.375" style="19" customWidth="1"/>
    <col min="1776" max="1776" width="4.25" style="19" customWidth="1"/>
    <col min="1777" max="1777" width="3.375" style="19" customWidth="1"/>
    <col min="1778" max="2010" width="9" style="19"/>
    <col min="2011" max="2011" width="4.375" style="19" customWidth="1"/>
    <col min="2012" max="2012" width="4.5" style="19" customWidth="1"/>
    <col min="2013" max="2013" width="6.625" style="19" customWidth="1"/>
    <col min="2014" max="2027" width="4.375" style="19" customWidth="1"/>
    <col min="2028" max="2028" width="4.25" style="19" customWidth="1"/>
    <col min="2029" max="2031" width="4.375" style="19" customWidth="1"/>
    <col min="2032" max="2032" width="4.25" style="19" customWidth="1"/>
    <col min="2033" max="2033" width="3.375" style="19" customWidth="1"/>
    <col min="2034" max="2266" width="9" style="19"/>
    <col min="2267" max="2267" width="4.375" style="19" customWidth="1"/>
    <col min="2268" max="2268" width="4.5" style="19" customWidth="1"/>
    <col min="2269" max="2269" width="6.625" style="19" customWidth="1"/>
    <col min="2270" max="2283" width="4.375" style="19" customWidth="1"/>
    <col min="2284" max="2284" width="4.25" style="19" customWidth="1"/>
    <col min="2285" max="2287" width="4.375" style="19" customWidth="1"/>
    <col min="2288" max="2288" width="4.25" style="19" customWidth="1"/>
    <col min="2289" max="2289" width="3.375" style="19" customWidth="1"/>
    <col min="2290" max="2522" width="9" style="19"/>
    <col min="2523" max="2523" width="4.375" style="19" customWidth="1"/>
    <col min="2524" max="2524" width="4.5" style="19" customWidth="1"/>
    <col min="2525" max="2525" width="6.625" style="19" customWidth="1"/>
    <col min="2526" max="2539" width="4.375" style="19" customWidth="1"/>
    <col min="2540" max="2540" width="4.25" style="19" customWidth="1"/>
    <col min="2541" max="2543" width="4.375" style="19" customWidth="1"/>
    <col min="2544" max="2544" width="4.25" style="19" customWidth="1"/>
    <col min="2545" max="2545" width="3.375" style="19" customWidth="1"/>
    <col min="2546" max="2778" width="9" style="19"/>
    <col min="2779" max="2779" width="4.375" style="19" customWidth="1"/>
    <col min="2780" max="2780" width="4.5" style="19" customWidth="1"/>
    <col min="2781" max="2781" width="6.625" style="19" customWidth="1"/>
    <col min="2782" max="2795" width="4.375" style="19" customWidth="1"/>
    <col min="2796" max="2796" width="4.25" style="19" customWidth="1"/>
    <col min="2797" max="2799" width="4.375" style="19" customWidth="1"/>
    <col min="2800" max="2800" width="4.25" style="19" customWidth="1"/>
    <col min="2801" max="2801" width="3.375" style="19" customWidth="1"/>
    <col min="2802" max="3034" width="9" style="19"/>
    <col min="3035" max="3035" width="4.375" style="19" customWidth="1"/>
    <col min="3036" max="3036" width="4.5" style="19" customWidth="1"/>
    <col min="3037" max="3037" width="6.625" style="19" customWidth="1"/>
    <col min="3038" max="3051" width="4.375" style="19" customWidth="1"/>
    <col min="3052" max="3052" width="4.25" style="19" customWidth="1"/>
    <col min="3053" max="3055" width="4.375" style="19" customWidth="1"/>
    <col min="3056" max="3056" width="4.25" style="19" customWidth="1"/>
    <col min="3057" max="3057" width="3.375" style="19" customWidth="1"/>
    <col min="3058" max="3290" width="9" style="19"/>
    <col min="3291" max="3291" width="4.375" style="19" customWidth="1"/>
    <col min="3292" max="3292" width="4.5" style="19" customWidth="1"/>
    <col min="3293" max="3293" width="6.625" style="19" customWidth="1"/>
    <col min="3294" max="3307" width="4.375" style="19" customWidth="1"/>
    <col min="3308" max="3308" width="4.25" style="19" customWidth="1"/>
    <col min="3309" max="3311" width="4.375" style="19" customWidth="1"/>
    <col min="3312" max="3312" width="4.25" style="19" customWidth="1"/>
    <col min="3313" max="3313" width="3.375" style="19" customWidth="1"/>
    <col min="3314" max="3546" width="9" style="19"/>
    <col min="3547" max="3547" width="4.375" style="19" customWidth="1"/>
    <col min="3548" max="3548" width="4.5" style="19" customWidth="1"/>
    <col min="3549" max="3549" width="6.625" style="19" customWidth="1"/>
    <col min="3550" max="3563" width="4.375" style="19" customWidth="1"/>
    <col min="3564" max="3564" width="4.25" style="19" customWidth="1"/>
    <col min="3565" max="3567" width="4.375" style="19" customWidth="1"/>
    <col min="3568" max="3568" width="4.25" style="19" customWidth="1"/>
    <col min="3569" max="3569" width="3.375" style="19" customWidth="1"/>
    <col min="3570" max="3802" width="9" style="19"/>
    <col min="3803" max="3803" width="4.375" style="19" customWidth="1"/>
    <col min="3804" max="3804" width="4.5" style="19" customWidth="1"/>
    <col min="3805" max="3805" width="6.625" style="19" customWidth="1"/>
    <col min="3806" max="3819" width="4.375" style="19" customWidth="1"/>
    <col min="3820" max="3820" width="4.25" style="19" customWidth="1"/>
    <col min="3821" max="3823" width="4.375" style="19" customWidth="1"/>
    <col min="3824" max="3824" width="4.25" style="19" customWidth="1"/>
    <col min="3825" max="3825" width="3.375" style="19" customWidth="1"/>
    <col min="3826" max="4058" width="9" style="19"/>
    <col min="4059" max="4059" width="4.375" style="19" customWidth="1"/>
    <col min="4060" max="4060" width="4.5" style="19" customWidth="1"/>
    <col min="4061" max="4061" width="6.625" style="19" customWidth="1"/>
    <col min="4062" max="4075" width="4.375" style="19" customWidth="1"/>
    <col min="4076" max="4076" width="4.25" style="19" customWidth="1"/>
    <col min="4077" max="4079" width="4.375" style="19" customWidth="1"/>
    <col min="4080" max="4080" width="4.25" style="19" customWidth="1"/>
    <col min="4081" max="4081" width="3.375" style="19" customWidth="1"/>
    <col min="4082" max="4314" width="9" style="19"/>
    <col min="4315" max="4315" width="4.375" style="19" customWidth="1"/>
    <col min="4316" max="4316" width="4.5" style="19" customWidth="1"/>
    <col min="4317" max="4317" width="6.625" style="19" customWidth="1"/>
    <col min="4318" max="4331" width="4.375" style="19" customWidth="1"/>
    <col min="4332" max="4332" width="4.25" style="19" customWidth="1"/>
    <col min="4333" max="4335" width="4.375" style="19" customWidth="1"/>
    <col min="4336" max="4336" width="4.25" style="19" customWidth="1"/>
    <col min="4337" max="4337" width="3.375" style="19" customWidth="1"/>
    <col min="4338" max="4570" width="9" style="19"/>
    <col min="4571" max="4571" width="4.375" style="19" customWidth="1"/>
    <col min="4572" max="4572" width="4.5" style="19" customWidth="1"/>
    <col min="4573" max="4573" width="6.625" style="19" customWidth="1"/>
    <col min="4574" max="4587" width="4.375" style="19" customWidth="1"/>
    <col min="4588" max="4588" width="4.25" style="19" customWidth="1"/>
    <col min="4589" max="4591" width="4.375" style="19" customWidth="1"/>
    <col min="4592" max="4592" width="4.25" style="19" customWidth="1"/>
    <col min="4593" max="4593" width="3.375" style="19" customWidth="1"/>
    <col min="4594" max="4826" width="9" style="19"/>
    <col min="4827" max="4827" width="4.375" style="19" customWidth="1"/>
    <col min="4828" max="4828" width="4.5" style="19" customWidth="1"/>
    <col min="4829" max="4829" width="6.625" style="19" customWidth="1"/>
    <col min="4830" max="4843" width="4.375" style="19" customWidth="1"/>
    <col min="4844" max="4844" width="4.25" style="19" customWidth="1"/>
    <col min="4845" max="4847" width="4.375" style="19" customWidth="1"/>
    <col min="4848" max="4848" width="4.25" style="19" customWidth="1"/>
    <col min="4849" max="4849" width="3.375" style="19" customWidth="1"/>
    <col min="4850" max="5082" width="9" style="19"/>
    <col min="5083" max="5083" width="4.375" style="19" customWidth="1"/>
    <col min="5084" max="5084" width="4.5" style="19" customWidth="1"/>
    <col min="5085" max="5085" width="6.625" style="19" customWidth="1"/>
    <col min="5086" max="5099" width="4.375" style="19" customWidth="1"/>
    <col min="5100" max="5100" width="4.25" style="19" customWidth="1"/>
    <col min="5101" max="5103" width="4.375" style="19" customWidth="1"/>
    <col min="5104" max="5104" width="4.25" style="19" customWidth="1"/>
    <col min="5105" max="5105" width="3.375" style="19" customWidth="1"/>
    <col min="5106" max="5338" width="9" style="19"/>
    <col min="5339" max="5339" width="4.375" style="19" customWidth="1"/>
    <col min="5340" max="5340" width="4.5" style="19" customWidth="1"/>
    <col min="5341" max="5341" width="6.625" style="19" customWidth="1"/>
    <col min="5342" max="5355" width="4.375" style="19" customWidth="1"/>
    <col min="5356" max="5356" width="4.25" style="19" customWidth="1"/>
    <col min="5357" max="5359" width="4.375" style="19" customWidth="1"/>
    <col min="5360" max="5360" width="4.25" style="19" customWidth="1"/>
    <col min="5361" max="5361" width="3.375" style="19" customWidth="1"/>
    <col min="5362" max="5594" width="9" style="19"/>
    <col min="5595" max="5595" width="4.375" style="19" customWidth="1"/>
    <col min="5596" max="5596" width="4.5" style="19" customWidth="1"/>
    <col min="5597" max="5597" width="6.625" style="19" customWidth="1"/>
    <col min="5598" max="5611" width="4.375" style="19" customWidth="1"/>
    <col min="5612" max="5612" width="4.25" style="19" customWidth="1"/>
    <col min="5613" max="5615" width="4.375" style="19" customWidth="1"/>
    <col min="5616" max="5616" width="4.25" style="19" customWidth="1"/>
    <col min="5617" max="5617" width="3.375" style="19" customWidth="1"/>
    <col min="5618" max="5850" width="9" style="19"/>
    <col min="5851" max="5851" width="4.375" style="19" customWidth="1"/>
    <col min="5852" max="5852" width="4.5" style="19" customWidth="1"/>
    <col min="5853" max="5853" width="6.625" style="19" customWidth="1"/>
    <col min="5854" max="5867" width="4.375" style="19" customWidth="1"/>
    <col min="5868" max="5868" width="4.25" style="19" customWidth="1"/>
    <col min="5869" max="5871" width="4.375" style="19" customWidth="1"/>
    <col min="5872" max="5872" width="4.25" style="19" customWidth="1"/>
    <col min="5873" max="5873" width="3.375" style="19" customWidth="1"/>
    <col min="5874" max="6106" width="9" style="19"/>
    <col min="6107" max="6107" width="4.375" style="19" customWidth="1"/>
    <col min="6108" max="6108" width="4.5" style="19" customWidth="1"/>
    <col min="6109" max="6109" width="6.625" style="19" customWidth="1"/>
    <col min="6110" max="6123" width="4.375" style="19" customWidth="1"/>
    <col min="6124" max="6124" width="4.25" style="19" customWidth="1"/>
    <col min="6125" max="6127" width="4.375" style="19" customWidth="1"/>
    <col min="6128" max="6128" width="4.25" style="19" customWidth="1"/>
    <col min="6129" max="6129" width="3.375" style="19" customWidth="1"/>
    <col min="6130" max="6362" width="9" style="19"/>
    <col min="6363" max="6363" width="4.375" style="19" customWidth="1"/>
    <col min="6364" max="6364" width="4.5" style="19" customWidth="1"/>
    <col min="6365" max="6365" width="6.625" style="19" customWidth="1"/>
    <col min="6366" max="6379" width="4.375" style="19" customWidth="1"/>
    <col min="6380" max="6380" width="4.25" style="19" customWidth="1"/>
    <col min="6381" max="6383" width="4.375" style="19" customWidth="1"/>
    <col min="6384" max="6384" width="4.25" style="19" customWidth="1"/>
    <col min="6385" max="6385" width="3.375" style="19" customWidth="1"/>
    <col min="6386" max="6618" width="9" style="19"/>
    <col min="6619" max="6619" width="4.375" style="19" customWidth="1"/>
    <col min="6620" max="6620" width="4.5" style="19" customWidth="1"/>
    <col min="6621" max="6621" width="6.625" style="19" customWidth="1"/>
    <col min="6622" max="6635" width="4.375" style="19" customWidth="1"/>
    <col min="6636" max="6636" width="4.25" style="19" customWidth="1"/>
    <col min="6637" max="6639" width="4.375" style="19" customWidth="1"/>
    <col min="6640" max="6640" width="4.25" style="19" customWidth="1"/>
    <col min="6641" max="6641" width="3.375" style="19" customWidth="1"/>
    <col min="6642" max="6874" width="9" style="19"/>
    <col min="6875" max="6875" width="4.375" style="19" customWidth="1"/>
    <col min="6876" max="6876" width="4.5" style="19" customWidth="1"/>
    <col min="6877" max="6877" width="6.625" style="19" customWidth="1"/>
    <col min="6878" max="6891" width="4.375" style="19" customWidth="1"/>
    <col min="6892" max="6892" width="4.25" style="19" customWidth="1"/>
    <col min="6893" max="6895" width="4.375" style="19" customWidth="1"/>
    <col min="6896" max="6896" width="4.25" style="19" customWidth="1"/>
    <col min="6897" max="6897" width="3.375" style="19" customWidth="1"/>
    <col min="6898" max="7130" width="9" style="19"/>
    <col min="7131" max="7131" width="4.375" style="19" customWidth="1"/>
    <col min="7132" max="7132" width="4.5" style="19" customWidth="1"/>
    <col min="7133" max="7133" width="6.625" style="19" customWidth="1"/>
    <col min="7134" max="7147" width="4.375" style="19" customWidth="1"/>
    <col min="7148" max="7148" width="4.25" style="19" customWidth="1"/>
    <col min="7149" max="7151" width="4.375" style="19" customWidth="1"/>
    <col min="7152" max="7152" width="4.25" style="19" customWidth="1"/>
    <col min="7153" max="7153" width="3.375" style="19" customWidth="1"/>
    <col min="7154" max="7386" width="9" style="19"/>
    <col min="7387" max="7387" width="4.375" style="19" customWidth="1"/>
    <col min="7388" max="7388" width="4.5" style="19" customWidth="1"/>
    <col min="7389" max="7389" width="6.625" style="19" customWidth="1"/>
    <col min="7390" max="7403" width="4.375" style="19" customWidth="1"/>
    <col min="7404" max="7404" width="4.25" style="19" customWidth="1"/>
    <col min="7405" max="7407" width="4.375" style="19" customWidth="1"/>
    <col min="7408" max="7408" width="4.25" style="19" customWidth="1"/>
    <col min="7409" max="7409" width="3.375" style="19" customWidth="1"/>
    <col min="7410" max="7642" width="9" style="19"/>
    <col min="7643" max="7643" width="4.375" style="19" customWidth="1"/>
    <col min="7644" max="7644" width="4.5" style="19" customWidth="1"/>
    <col min="7645" max="7645" width="6.625" style="19" customWidth="1"/>
    <col min="7646" max="7659" width="4.375" style="19" customWidth="1"/>
    <col min="7660" max="7660" width="4.25" style="19" customWidth="1"/>
    <col min="7661" max="7663" width="4.375" style="19" customWidth="1"/>
    <col min="7664" max="7664" width="4.25" style="19" customWidth="1"/>
    <col min="7665" max="7665" width="3.375" style="19" customWidth="1"/>
    <col min="7666" max="7898" width="9" style="19"/>
    <col min="7899" max="7899" width="4.375" style="19" customWidth="1"/>
    <col min="7900" max="7900" width="4.5" style="19" customWidth="1"/>
    <col min="7901" max="7901" width="6.625" style="19" customWidth="1"/>
    <col min="7902" max="7915" width="4.375" style="19" customWidth="1"/>
    <col min="7916" max="7916" width="4.25" style="19" customWidth="1"/>
    <col min="7917" max="7919" width="4.375" style="19" customWidth="1"/>
    <col min="7920" max="7920" width="4.25" style="19" customWidth="1"/>
    <col min="7921" max="7921" width="3.375" style="19" customWidth="1"/>
    <col min="7922" max="8154" width="9" style="19"/>
    <col min="8155" max="8155" width="4.375" style="19" customWidth="1"/>
    <col min="8156" max="8156" width="4.5" style="19" customWidth="1"/>
    <col min="8157" max="8157" width="6.625" style="19" customWidth="1"/>
    <col min="8158" max="8171" width="4.375" style="19" customWidth="1"/>
    <col min="8172" max="8172" width="4.25" style="19" customWidth="1"/>
    <col min="8173" max="8175" width="4.375" style="19" customWidth="1"/>
    <col min="8176" max="8176" width="4.25" style="19" customWidth="1"/>
    <col min="8177" max="8177" width="3.375" style="19" customWidth="1"/>
    <col min="8178" max="8410" width="9" style="19"/>
    <col min="8411" max="8411" width="4.375" style="19" customWidth="1"/>
    <col min="8412" max="8412" width="4.5" style="19" customWidth="1"/>
    <col min="8413" max="8413" width="6.625" style="19" customWidth="1"/>
    <col min="8414" max="8427" width="4.375" style="19" customWidth="1"/>
    <col min="8428" max="8428" width="4.25" style="19" customWidth="1"/>
    <col min="8429" max="8431" width="4.375" style="19" customWidth="1"/>
    <col min="8432" max="8432" width="4.25" style="19" customWidth="1"/>
    <col min="8433" max="8433" width="3.375" style="19" customWidth="1"/>
    <col min="8434" max="8666" width="9" style="19"/>
    <col min="8667" max="8667" width="4.375" style="19" customWidth="1"/>
    <col min="8668" max="8668" width="4.5" style="19" customWidth="1"/>
    <col min="8669" max="8669" width="6.625" style="19" customWidth="1"/>
    <col min="8670" max="8683" width="4.375" style="19" customWidth="1"/>
    <col min="8684" max="8684" width="4.25" style="19" customWidth="1"/>
    <col min="8685" max="8687" width="4.375" style="19" customWidth="1"/>
    <col min="8688" max="8688" width="4.25" style="19" customWidth="1"/>
    <col min="8689" max="8689" width="3.375" style="19" customWidth="1"/>
    <col min="8690" max="8922" width="9" style="19"/>
    <col min="8923" max="8923" width="4.375" style="19" customWidth="1"/>
    <col min="8924" max="8924" width="4.5" style="19" customWidth="1"/>
    <col min="8925" max="8925" width="6.625" style="19" customWidth="1"/>
    <col min="8926" max="8939" width="4.375" style="19" customWidth="1"/>
    <col min="8940" max="8940" width="4.25" style="19" customWidth="1"/>
    <col min="8941" max="8943" width="4.375" style="19" customWidth="1"/>
    <col min="8944" max="8944" width="4.25" style="19" customWidth="1"/>
    <col min="8945" max="8945" width="3.375" style="19" customWidth="1"/>
    <col min="8946" max="9178" width="9" style="19"/>
    <col min="9179" max="9179" width="4.375" style="19" customWidth="1"/>
    <col min="9180" max="9180" width="4.5" style="19" customWidth="1"/>
    <col min="9181" max="9181" width="6.625" style="19" customWidth="1"/>
    <col min="9182" max="9195" width="4.375" style="19" customWidth="1"/>
    <col min="9196" max="9196" width="4.25" style="19" customWidth="1"/>
    <col min="9197" max="9199" width="4.375" style="19" customWidth="1"/>
    <col min="9200" max="9200" width="4.25" style="19" customWidth="1"/>
    <col min="9201" max="9201" width="3.375" style="19" customWidth="1"/>
    <col min="9202" max="9434" width="9" style="19"/>
    <col min="9435" max="9435" width="4.375" style="19" customWidth="1"/>
    <col min="9436" max="9436" width="4.5" style="19" customWidth="1"/>
    <col min="9437" max="9437" width="6.625" style="19" customWidth="1"/>
    <col min="9438" max="9451" width="4.375" style="19" customWidth="1"/>
    <col min="9452" max="9452" width="4.25" style="19" customWidth="1"/>
    <col min="9453" max="9455" width="4.375" style="19" customWidth="1"/>
    <col min="9456" max="9456" width="4.25" style="19" customWidth="1"/>
    <col min="9457" max="9457" width="3.375" style="19" customWidth="1"/>
    <col min="9458" max="9690" width="9" style="19"/>
    <col min="9691" max="9691" width="4.375" style="19" customWidth="1"/>
    <col min="9692" max="9692" width="4.5" style="19" customWidth="1"/>
    <col min="9693" max="9693" width="6.625" style="19" customWidth="1"/>
    <col min="9694" max="9707" width="4.375" style="19" customWidth="1"/>
    <col min="9708" max="9708" width="4.25" style="19" customWidth="1"/>
    <col min="9709" max="9711" width="4.375" style="19" customWidth="1"/>
    <col min="9712" max="9712" width="4.25" style="19" customWidth="1"/>
    <col min="9713" max="9713" width="3.375" style="19" customWidth="1"/>
    <col min="9714" max="9946" width="9" style="19"/>
    <col min="9947" max="9947" width="4.375" style="19" customWidth="1"/>
    <col min="9948" max="9948" width="4.5" style="19" customWidth="1"/>
    <col min="9949" max="9949" width="6.625" style="19" customWidth="1"/>
    <col min="9950" max="9963" width="4.375" style="19" customWidth="1"/>
    <col min="9964" max="9964" width="4.25" style="19" customWidth="1"/>
    <col min="9965" max="9967" width="4.375" style="19" customWidth="1"/>
    <col min="9968" max="9968" width="4.25" style="19" customWidth="1"/>
    <col min="9969" max="9969" width="3.375" style="19" customWidth="1"/>
    <col min="9970" max="10202" width="9" style="19"/>
    <col min="10203" max="10203" width="4.375" style="19" customWidth="1"/>
    <col min="10204" max="10204" width="4.5" style="19" customWidth="1"/>
    <col min="10205" max="10205" width="6.625" style="19" customWidth="1"/>
    <col min="10206" max="10219" width="4.375" style="19" customWidth="1"/>
    <col min="10220" max="10220" width="4.25" style="19" customWidth="1"/>
    <col min="10221" max="10223" width="4.375" style="19" customWidth="1"/>
    <col min="10224" max="10224" width="4.25" style="19" customWidth="1"/>
    <col min="10225" max="10225" width="3.375" style="19" customWidth="1"/>
    <col min="10226" max="10458" width="9" style="19"/>
    <col min="10459" max="10459" width="4.375" style="19" customWidth="1"/>
    <col min="10460" max="10460" width="4.5" style="19" customWidth="1"/>
    <col min="10461" max="10461" width="6.625" style="19" customWidth="1"/>
    <col min="10462" max="10475" width="4.375" style="19" customWidth="1"/>
    <col min="10476" max="10476" width="4.25" style="19" customWidth="1"/>
    <col min="10477" max="10479" width="4.375" style="19" customWidth="1"/>
    <col min="10480" max="10480" width="4.25" style="19" customWidth="1"/>
    <col min="10481" max="10481" width="3.375" style="19" customWidth="1"/>
    <col min="10482" max="10714" width="9" style="19"/>
    <col min="10715" max="10715" width="4.375" style="19" customWidth="1"/>
    <col min="10716" max="10716" width="4.5" style="19" customWidth="1"/>
    <col min="10717" max="10717" width="6.625" style="19" customWidth="1"/>
    <col min="10718" max="10731" width="4.375" style="19" customWidth="1"/>
    <col min="10732" max="10732" width="4.25" style="19" customWidth="1"/>
    <col min="10733" max="10735" width="4.375" style="19" customWidth="1"/>
    <col min="10736" max="10736" width="4.25" style="19" customWidth="1"/>
    <col min="10737" max="10737" width="3.375" style="19" customWidth="1"/>
    <col min="10738" max="10970" width="9" style="19"/>
    <col min="10971" max="10971" width="4.375" style="19" customWidth="1"/>
    <col min="10972" max="10972" width="4.5" style="19" customWidth="1"/>
    <col min="10973" max="10973" width="6.625" style="19" customWidth="1"/>
    <col min="10974" max="10987" width="4.375" style="19" customWidth="1"/>
    <col min="10988" max="10988" width="4.25" style="19" customWidth="1"/>
    <col min="10989" max="10991" width="4.375" style="19" customWidth="1"/>
    <col min="10992" max="10992" width="4.25" style="19" customWidth="1"/>
    <col min="10993" max="10993" width="3.375" style="19" customWidth="1"/>
    <col min="10994" max="11226" width="9" style="19"/>
    <col min="11227" max="11227" width="4.375" style="19" customWidth="1"/>
    <col min="11228" max="11228" width="4.5" style="19" customWidth="1"/>
    <col min="11229" max="11229" width="6.625" style="19" customWidth="1"/>
    <col min="11230" max="11243" width="4.375" style="19" customWidth="1"/>
    <col min="11244" max="11244" width="4.25" style="19" customWidth="1"/>
    <col min="11245" max="11247" width="4.375" style="19" customWidth="1"/>
    <col min="11248" max="11248" width="4.25" style="19" customWidth="1"/>
    <col min="11249" max="11249" width="3.375" style="19" customWidth="1"/>
    <col min="11250" max="11482" width="9" style="19"/>
    <col min="11483" max="11483" width="4.375" style="19" customWidth="1"/>
    <col min="11484" max="11484" width="4.5" style="19" customWidth="1"/>
    <col min="11485" max="11485" width="6.625" style="19" customWidth="1"/>
    <col min="11486" max="11499" width="4.375" style="19" customWidth="1"/>
    <col min="11500" max="11500" width="4.25" style="19" customWidth="1"/>
    <col min="11501" max="11503" width="4.375" style="19" customWidth="1"/>
    <col min="11504" max="11504" width="4.25" style="19" customWidth="1"/>
    <col min="11505" max="11505" width="3.375" style="19" customWidth="1"/>
    <col min="11506" max="11738" width="9" style="19"/>
    <col min="11739" max="11739" width="4.375" style="19" customWidth="1"/>
    <col min="11740" max="11740" width="4.5" style="19" customWidth="1"/>
    <col min="11741" max="11741" width="6.625" style="19" customWidth="1"/>
    <col min="11742" max="11755" width="4.375" style="19" customWidth="1"/>
    <col min="11756" max="11756" width="4.25" style="19" customWidth="1"/>
    <col min="11757" max="11759" width="4.375" style="19" customWidth="1"/>
    <col min="11760" max="11760" width="4.25" style="19" customWidth="1"/>
    <col min="11761" max="11761" width="3.375" style="19" customWidth="1"/>
    <col min="11762" max="11994" width="9" style="19"/>
    <col min="11995" max="11995" width="4.375" style="19" customWidth="1"/>
    <col min="11996" max="11996" width="4.5" style="19" customWidth="1"/>
    <col min="11997" max="11997" width="6.625" style="19" customWidth="1"/>
    <col min="11998" max="12011" width="4.375" style="19" customWidth="1"/>
    <col min="12012" max="12012" width="4.25" style="19" customWidth="1"/>
    <col min="12013" max="12015" width="4.375" style="19" customWidth="1"/>
    <col min="12016" max="12016" width="4.25" style="19" customWidth="1"/>
    <col min="12017" max="12017" width="3.375" style="19" customWidth="1"/>
    <col min="12018" max="12250" width="9" style="19"/>
    <col min="12251" max="12251" width="4.375" style="19" customWidth="1"/>
    <col min="12252" max="12252" width="4.5" style="19" customWidth="1"/>
    <col min="12253" max="12253" width="6.625" style="19" customWidth="1"/>
    <col min="12254" max="12267" width="4.375" style="19" customWidth="1"/>
    <col min="12268" max="12268" width="4.25" style="19" customWidth="1"/>
    <col min="12269" max="12271" width="4.375" style="19" customWidth="1"/>
    <col min="12272" max="12272" width="4.25" style="19" customWidth="1"/>
    <col min="12273" max="12273" width="3.375" style="19" customWidth="1"/>
    <col min="12274" max="12506" width="9" style="19"/>
    <col min="12507" max="12507" width="4.375" style="19" customWidth="1"/>
    <col min="12508" max="12508" width="4.5" style="19" customWidth="1"/>
    <col min="12509" max="12509" width="6.625" style="19" customWidth="1"/>
    <col min="12510" max="12523" width="4.375" style="19" customWidth="1"/>
    <col min="12524" max="12524" width="4.25" style="19" customWidth="1"/>
    <col min="12525" max="12527" width="4.375" style="19" customWidth="1"/>
    <col min="12528" max="12528" width="4.25" style="19" customWidth="1"/>
    <col min="12529" max="12529" width="3.375" style="19" customWidth="1"/>
    <col min="12530" max="12762" width="9" style="19"/>
    <col min="12763" max="12763" width="4.375" style="19" customWidth="1"/>
    <col min="12764" max="12764" width="4.5" style="19" customWidth="1"/>
    <col min="12765" max="12765" width="6.625" style="19" customWidth="1"/>
    <col min="12766" max="12779" width="4.375" style="19" customWidth="1"/>
    <col min="12780" max="12780" width="4.25" style="19" customWidth="1"/>
    <col min="12781" max="12783" width="4.375" style="19" customWidth="1"/>
    <col min="12784" max="12784" width="4.25" style="19" customWidth="1"/>
    <col min="12785" max="12785" width="3.375" style="19" customWidth="1"/>
    <col min="12786" max="13018" width="9" style="19"/>
    <col min="13019" max="13019" width="4.375" style="19" customWidth="1"/>
    <col min="13020" max="13020" width="4.5" style="19" customWidth="1"/>
    <col min="13021" max="13021" width="6.625" style="19" customWidth="1"/>
    <col min="13022" max="13035" width="4.375" style="19" customWidth="1"/>
    <col min="13036" max="13036" width="4.25" style="19" customWidth="1"/>
    <col min="13037" max="13039" width="4.375" style="19" customWidth="1"/>
    <col min="13040" max="13040" width="4.25" style="19" customWidth="1"/>
    <col min="13041" max="13041" width="3.375" style="19" customWidth="1"/>
    <col min="13042" max="13274" width="9" style="19"/>
    <col min="13275" max="13275" width="4.375" style="19" customWidth="1"/>
    <col min="13276" max="13276" width="4.5" style="19" customWidth="1"/>
    <col min="13277" max="13277" width="6.625" style="19" customWidth="1"/>
    <col min="13278" max="13291" width="4.375" style="19" customWidth="1"/>
    <col min="13292" max="13292" width="4.25" style="19" customWidth="1"/>
    <col min="13293" max="13295" width="4.375" style="19" customWidth="1"/>
    <col min="13296" max="13296" width="4.25" style="19" customWidth="1"/>
    <col min="13297" max="13297" width="3.375" style="19" customWidth="1"/>
    <col min="13298" max="13530" width="9" style="19"/>
    <col min="13531" max="13531" width="4.375" style="19" customWidth="1"/>
    <col min="13532" max="13532" width="4.5" style="19" customWidth="1"/>
    <col min="13533" max="13533" width="6.625" style="19" customWidth="1"/>
    <col min="13534" max="13547" width="4.375" style="19" customWidth="1"/>
    <col min="13548" max="13548" width="4.25" style="19" customWidth="1"/>
    <col min="13549" max="13551" width="4.375" style="19" customWidth="1"/>
    <col min="13552" max="13552" width="4.25" style="19" customWidth="1"/>
    <col min="13553" max="13553" width="3.375" style="19" customWidth="1"/>
    <col min="13554" max="13786" width="9" style="19"/>
    <col min="13787" max="13787" width="4.375" style="19" customWidth="1"/>
    <col min="13788" max="13788" width="4.5" style="19" customWidth="1"/>
    <col min="13789" max="13789" width="6.625" style="19" customWidth="1"/>
    <col min="13790" max="13803" width="4.375" style="19" customWidth="1"/>
    <col min="13804" max="13804" width="4.25" style="19" customWidth="1"/>
    <col min="13805" max="13807" width="4.375" style="19" customWidth="1"/>
    <col min="13808" max="13808" width="4.25" style="19" customWidth="1"/>
    <col min="13809" max="13809" width="3.375" style="19" customWidth="1"/>
    <col min="13810" max="14042" width="9" style="19"/>
    <col min="14043" max="14043" width="4.375" style="19" customWidth="1"/>
    <col min="14044" max="14044" width="4.5" style="19" customWidth="1"/>
    <col min="14045" max="14045" width="6.625" style="19" customWidth="1"/>
    <col min="14046" max="14059" width="4.375" style="19" customWidth="1"/>
    <col min="14060" max="14060" width="4.25" style="19" customWidth="1"/>
    <col min="14061" max="14063" width="4.375" style="19" customWidth="1"/>
    <col min="14064" max="14064" width="4.25" style="19" customWidth="1"/>
    <col min="14065" max="14065" width="3.375" style="19" customWidth="1"/>
    <col min="14066" max="14298" width="9" style="19"/>
    <col min="14299" max="14299" width="4.375" style="19" customWidth="1"/>
    <col min="14300" max="14300" width="4.5" style="19" customWidth="1"/>
    <col min="14301" max="14301" width="6.625" style="19" customWidth="1"/>
    <col min="14302" max="14315" width="4.375" style="19" customWidth="1"/>
    <col min="14316" max="14316" width="4.25" style="19" customWidth="1"/>
    <col min="14317" max="14319" width="4.375" style="19" customWidth="1"/>
    <col min="14320" max="14320" width="4.25" style="19" customWidth="1"/>
    <col min="14321" max="14321" width="3.375" style="19" customWidth="1"/>
    <col min="14322" max="14554" width="9" style="19"/>
    <col min="14555" max="14555" width="4.375" style="19" customWidth="1"/>
    <col min="14556" max="14556" width="4.5" style="19" customWidth="1"/>
    <col min="14557" max="14557" width="6.625" style="19" customWidth="1"/>
    <col min="14558" max="14571" width="4.375" style="19" customWidth="1"/>
    <col min="14572" max="14572" width="4.25" style="19" customWidth="1"/>
    <col min="14573" max="14575" width="4.375" style="19" customWidth="1"/>
    <col min="14576" max="14576" width="4.25" style="19" customWidth="1"/>
    <col min="14577" max="14577" width="3.375" style="19" customWidth="1"/>
    <col min="14578" max="14810" width="9" style="19"/>
    <col min="14811" max="14811" width="4.375" style="19" customWidth="1"/>
    <col min="14812" max="14812" width="4.5" style="19" customWidth="1"/>
    <col min="14813" max="14813" width="6.625" style="19" customWidth="1"/>
    <col min="14814" max="14827" width="4.375" style="19" customWidth="1"/>
    <col min="14828" max="14828" width="4.25" style="19" customWidth="1"/>
    <col min="14829" max="14831" width="4.375" style="19" customWidth="1"/>
    <col min="14832" max="14832" width="4.25" style="19" customWidth="1"/>
    <col min="14833" max="14833" width="3.375" style="19" customWidth="1"/>
    <col min="14834" max="15066" width="9" style="19"/>
    <col min="15067" max="15067" width="4.375" style="19" customWidth="1"/>
    <col min="15068" max="15068" width="4.5" style="19" customWidth="1"/>
    <col min="15069" max="15069" width="6.625" style="19" customWidth="1"/>
    <col min="15070" max="15083" width="4.375" style="19" customWidth="1"/>
    <col min="15084" max="15084" width="4.25" style="19" customWidth="1"/>
    <col min="15085" max="15087" width="4.375" style="19" customWidth="1"/>
    <col min="15088" max="15088" width="4.25" style="19" customWidth="1"/>
    <col min="15089" max="15089" width="3.375" style="19" customWidth="1"/>
    <col min="15090" max="15322" width="9" style="19"/>
    <col min="15323" max="15323" width="4.375" style="19" customWidth="1"/>
    <col min="15324" max="15324" width="4.5" style="19" customWidth="1"/>
    <col min="15325" max="15325" width="6.625" style="19" customWidth="1"/>
    <col min="15326" max="15339" width="4.375" style="19" customWidth="1"/>
    <col min="15340" max="15340" width="4.25" style="19" customWidth="1"/>
    <col min="15341" max="15343" width="4.375" style="19" customWidth="1"/>
    <col min="15344" max="15344" width="4.25" style="19" customWidth="1"/>
    <col min="15345" max="15345" width="3.375" style="19" customWidth="1"/>
    <col min="15346" max="15578" width="9" style="19"/>
    <col min="15579" max="15579" width="4.375" style="19" customWidth="1"/>
    <col min="15580" max="15580" width="4.5" style="19" customWidth="1"/>
    <col min="15581" max="15581" width="6.625" style="19" customWidth="1"/>
    <col min="15582" max="15595" width="4.375" style="19" customWidth="1"/>
    <col min="15596" max="15596" width="4.25" style="19" customWidth="1"/>
    <col min="15597" max="15599" width="4.375" style="19" customWidth="1"/>
    <col min="15600" max="15600" width="4.25" style="19" customWidth="1"/>
    <col min="15601" max="15601" width="3.375" style="19" customWidth="1"/>
    <col min="15602" max="15834" width="9" style="19"/>
    <col min="15835" max="15835" width="4.375" style="19" customWidth="1"/>
    <col min="15836" max="15836" width="4.5" style="19" customWidth="1"/>
    <col min="15837" max="15837" width="6.625" style="19" customWidth="1"/>
    <col min="15838" max="15851" width="4.375" style="19" customWidth="1"/>
    <col min="15852" max="15852" width="4.25" style="19" customWidth="1"/>
    <col min="15853" max="15855" width="4.375" style="19" customWidth="1"/>
    <col min="15856" max="15856" width="4.25" style="19" customWidth="1"/>
    <col min="15857" max="15857" width="3.375" style="19" customWidth="1"/>
    <col min="15858" max="16090" width="9" style="19"/>
    <col min="16091" max="16091" width="4.375" style="19" customWidth="1"/>
    <col min="16092" max="16092" width="4.5" style="19" customWidth="1"/>
    <col min="16093" max="16093" width="6.625" style="19" customWidth="1"/>
    <col min="16094" max="16107" width="4.375" style="19" customWidth="1"/>
    <col min="16108" max="16108" width="4.25" style="19" customWidth="1"/>
    <col min="16109" max="16111" width="4.375" style="19" customWidth="1"/>
    <col min="16112" max="16112" width="4.25" style="19" customWidth="1"/>
    <col min="16113" max="16113" width="3.375" style="19" customWidth="1"/>
    <col min="16114" max="16347" width="9" style="19"/>
    <col min="16348" max="16384" width="9" style="19" customWidth="1"/>
  </cols>
  <sheetData>
    <row r="1" spans="1:77" ht="21">
      <c r="A1" s="16"/>
      <c r="B1" s="509" t="s">
        <v>185</v>
      </c>
      <c r="C1" s="509"/>
      <c r="D1" s="509"/>
      <c r="E1" s="509"/>
      <c r="F1" s="16"/>
      <c r="G1" s="16"/>
      <c r="H1" s="16"/>
      <c r="I1" s="16"/>
      <c r="J1" s="17"/>
      <c r="K1" s="16"/>
      <c r="L1" s="16"/>
      <c r="M1" s="16"/>
      <c r="N1" s="16"/>
      <c r="O1" s="16"/>
      <c r="P1" s="18"/>
      <c r="Q1" s="18"/>
      <c r="R1" s="16"/>
      <c r="S1" s="510"/>
      <c r="T1" s="510"/>
      <c r="U1" s="510"/>
      <c r="V1" s="16"/>
      <c r="W1" s="16"/>
      <c r="X1" s="16" t="s">
        <v>186</v>
      </c>
      <c r="Y1" s="16"/>
      <c r="Z1" s="16"/>
      <c r="AA1" s="509">
        <f>弔事報告書!Y2</f>
        <v>0</v>
      </c>
      <c r="AB1" s="509"/>
      <c r="AC1" s="509"/>
      <c r="AD1" s="16" t="s">
        <v>4</v>
      </c>
      <c r="AE1" s="509">
        <f>弔事報告書!AB2</f>
        <v>0</v>
      </c>
      <c r="AF1" s="509"/>
      <c r="AG1" s="250" t="s">
        <v>187</v>
      </c>
      <c r="AH1" s="509">
        <f>弔事報告書!AD2</f>
        <v>0</v>
      </c>
      <c r="AI1" s="509"/>
      <c r="AJ1" s="250" t="s">
        <v>45</v>
      </c>
      <c r="AK1" s="250"/>
      <c r="AM1" s="20"/>
    </row>
    <row r="2" spans="1:77" ht="24.6" customHeight="1">
      <c r="A2" s="16"/>
      <c r="B2" s="511"/>
      <c r="C2" s="511"/>
      <c r="D2" s="511"/>
      <c r="E2" s="511"/>
      <c r="F2" s="511"/>
      <c r="G2" s="511"/>
      <c r="H2" s="511"/>
      <c r="I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16"/>
      <c r="AL2" s="21"/>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row>
    <row r="3" spans="1:77" ht="24.6" customHeight="1">
      <c r="A3" s="16"/>
      <c r="B3" s="16"/>
      <c r="C3" s="16"/>
      <c r="D3" s="16"/>
      <c r="E3" s="16"/>
      <c r="F3" s="16"/>
      <c r="G3" s="16"/>
      <c r="H3" s="16"/>
      <c r="I3" s="16"/>
      <c r="J3" s="16"/>
      <c r="K3" s="16"/>
      <c r="L3" s="643" t="str">
        <f>IFERROR(VLOOKUP(B2,AN6:AO15,2,FALSE),"")</f>
        <v/>
      </c>
      <c r="M3" s="643"/>
      <c r="N3" s="643"/>
      <c r="O3" s="643"/>
      <c r="P3" s="643"/>
      <c r="Q3" s="643"/>
      <c r="R3" s="643"/>
      <c r="S3" s="643"/>
      <c r="T3" s="643"/>
      <c r="U3" s="643"/>
      <c r="V3" s="643"/>
      <c r="W3" s="643"/>
      <c r="X3" s="643"/>
      <c r="Y3" s="643"/>
      <c r="Z3" s="643"/>
      <c r="AA3" s="643"/>
      <c r="AB3" s="643"/>
      <c r="AC3" s="643"/>
      <c r="AD3" s="643"/>
      <c r="AE3" s="643"/>
      <c r="AF3" s="643"/>
      <c r="AG3" s="643"/>
      <c r="AH3" s="643"/>
      <c r="AI3" s="643"/>
      <c r="AJ3" s="643"/>
      <c r="AK3" s="16"/>
      <c r="AL3" s="21"/>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row>
    <row r="4" spans="1:77" ht="21">
      <c r="A4" s="16"/>
      <c r="B4" s="16"/>
      <c r="C4" s="22"/>
      <c r="D4" s="16"/>
      <c r="E4" s="16"/>
      <c r="F4" s="16"/>
      <c r="G4" s="16"/>
      <c r="H4" s="16"/>
      <c r="I4" s="16"/>
      <c r="J4" s="16"/>
      <c r="K4" s="16"/>
      <c r="L4" s="23"/>
      <c r="M4" s="512" t="s">
        <v>188</v>
      </c>
      <c r="N4" s="512"/>
      <c r="O4" s="512"/>
      <c r="P4" s="512"/>
      <c r="Q4" s="512"/>
      <c r="R4" s="512"/>
      <c r="S4" s="512"/>
      <c r="T4" s="512"/>
      <c r="U4" s="512"/>
      <c r="V4" s="512"/>
      <c r="W4" s="512"/>
      <c r="X4" s="512"/>
      <c r="Y4" s="16"/>
      <c r="Z4" s="16"/>
      <c r="AA4" s="16"/>
      <c r="AB4" s="16"/>
      <c r="AC4" s="16"/>
      <c r="AD4" s="16"/>
      <c r="AE4" s="16"/>
      <c r="AF4" s="16"/>
      <c r="AG4" s="16"/>
      <c r="AH4" s="16"/>
      <c r="AI4" s="16"/>
      <c r="AJ4" s="16"/>
      <c r="AK4" s="16"/>
    </row>
    <row r="5" spans="1:77" ht="21" customHeight="1">
      <c r="A5" s="16"/>
      <c r="B5" s="520" t="s">
        <v>192</v>
      </c>
      <c r="C5" s="520"/>
      <c r="D5" s="520"/>
      <c r="E5" s="520"/>
      <c r="F5" s="520"/>
      <c r="G5" s="520"/>
      <c r="H5" s="520"/>
      <c r="I5" s="520"/>
      <c r="J5" s="520"/>
      <c r="K5" s="520"/>
      <c r="L5" s="520"/>
      <c r="M5" s="520"/>
      <c r="N5" s="520"/>
      <c r="O5" s="248"/>
      <c r="P5" s="248"/>
      <c r="Q5" s="248"/>
      <c r="R5" s="248"/>
      <c r="S5" s="248"/>
      <c r="T5" s="248"/>
      <c r="U5" s="248"/>
      <c r="V5" s="248"/>
      <c r="W5" s="248"/>
      <c r="X5" s="248"/>
      <c r="Y5" s="248"/>
      <c r="Z5" s="248"/>
      <c r="AA5" s="248"/>
      <c r="AB5" s="248"/>
      <c r="AC5" s="248"/>
      <c r="AD5" s="248"/>
      <c r="AE5" s="248"/>
      <c r="AF5" s="248"/>
      <c r="AG5" s="248"/>
      <c r="AH5" s="248"/>
      <c r="AI5" s="248"/>
      <c r="AJ5" s="248"/>
      <c r="AK5" s="16"/>
      <c r="AN5" s="80" t="s">
        <v>189</v>
      </c>
      <c r="AO5" s="81"/>
    </row>
    <row r="6" spans="1:77" ht="19.5" customHeight="1" thickBot="1">
      <c r="A6" s="16"/>
      <c r="B6" s="521"/>
      <c r="C6" s="521"/>
      <c r="D6" s="521"/>
      <c r="E6" s="521"/>
      <c r="F6" s="521"/>
      <c r="G6" s="521"/>
      <c r="H6" s="521"/>
      <c r="I6" s="521"/>
      <c r="J6" s="521"/>
      <c r="K6" s="521"/>
      <c r="L6" s="521"/>
      <c r="M6" s="521"/>
      <c r="N6" s="521"/>
      <c r="O6" s="16"/>
      <c r="P6" s="16"/>
      <c r="Q6" s="16"/>
      <c r="R6" s="16"/>
      <c r="S6" s="16"/>
      <c r="T6" s="16"/>
      <c r="U6" s="16"/>
      <c r="V6" s="16"/>
      <c r="W6" s="16"/>
      <c r="X6" s="16"/>
      <c r="Y6" s="16"/>
      <c r="Z6" s="16"/>
      <c r="AA6" s="16"/>
      <c r="AB6" s="16"/>
      <c r="AC6" s="16"/>
      <c r="AD6" s="16"/>
      <c r="AE6" s="16"/>
      <c r="AF6" s="16"/>
      <c r="AG6" s="16"/>
      <c r="AH6" s="16"/>
      <c r="AI6" s="16"/>
      <c r="AJ6" s="16"/>
      <c r="AK6" s="16"/>
      <c r="AN6" s="158" t="s">
        <v>190</v>
      </c>
      <c r="AO6" s="159" t="s">
        <v>191</v>
      </c>
    </row>
    <row r="7" spans="1:77" s="24" customFormat="1" ht="17.25" thickTop="1">
      <c r="B7" s="85" t="s">
        <v>195</v>
      </c>
      <c r="C7" s="86"/>
      <c r="D7" s="86"/>
      <c r="E7" s="86"/>
      <c r="F7" s="87"/>
      <c r="G7" s="25"/>
      <c r="H7" s="25"/>
      <c r="I7" s="25"/>
      <c r="J7" s="25"/>
      <c r="K7" s="25"/>
      <c r="L7" s="88" t="s">
        <v>256</v>
      </c>
      <c r="M7" s="38"/>
      <c r="N7" s="25"/>
      <c r="O7" s="87"/>
      <c r="P7" s="86" t="s">
        <v>197</v>
      </c>
      <c r="Q7" s="25"/>
      <c r="R7" s="89"/>
      <c r="S7" s="89"/>
      <c r="T7" s="89"/>
      <c r="U7" s="89"/>
      <c r="V7" s="89"/>
      <c r="W7" s="38"/>
      <c r="X7" s="38"/>
      <c r="Y7" s="38"/>
      <c r="Z7" s="25"/>
      <c r="AA7" s="25"/>
      <c r="AB7" s="25"/>
      <c r="AC7" s="25"/>
      <c r="AD7" s="25"/>
      <c r="AE7" s="25"/>
      <c r="AF7" s="25"/>
      <c r="AG7" s="25"/>
      <c r="AH7" s="25"/>
      <c r="AI7" s="25"/>
      <c r="AJ7" s="26"/>
      <c r="AN7" s="158" t="s">
        <v>193</v>
      </c>
      <c r="AO7" s="159" t="s">
        <v>194</v>
      </c>
    </row>
    <row r="8" spans="1:77" s="24" customFormat="1" ht="16.5">
      <c r="B8" s="27"/>
      <c r="C8" s="30" t="s">
        <v>257</v>
      </c>
      <c r="D8" s="28"/>
      <c r="E8" s="28"/>
      <c r="F8" s="29"/>
      <c r="L8" s="29"/>
      <c r="M8" s="31"/>
      <c r="N8" s="30" t="s">
        <v>258</v>
      </c>
      <c r="O8" s="29"/>
      <c r="P8" s="29"/>
      <c r="R8" s="33"/>
      <c r="S8" s="31"/>
      <c r="T8" s="31"/>
      <c r="U8" s="31"/>
      <c r="V8" s="31"/>
      <c r="W8" s="31"/>
      <c r="X8" s="31"/>
      <c r="Y8" s="31"/>
      <c r="AJ8" s="32"/>
      <c r="AN8" s="158" t="s">
        <v>198</v>
      </c>
      <c r="AO8" s="159" t="s">
        <v>199</v>
      </c>
    </row>
    <row r="9" spans="1:77" s="24" customFormat="1" ht="17.25" thickBot="1">
      <c r="B9" s="34"/>
      <c r="C9" s="35"/>
      <c r="D9" s="35"/>
      <c r="E9" s="35"/>
      <c r="F9" s="35"/>
      <c r="G9" s="35"/>
      <c r="H9" s="35"/>
      <c r="I9" s="35"/>
      <c r="J9" s="35"/>
      <c r="K9" s="35"/>
      <c r="L9" s="35"/>
      <c r="M9" s="35"/>
      <c r="N9" s="35"/>
      <c r="O9" s="35"/>
      <c r="P9" s="35"/>
      <c r="Q9" s="35"/>
      <c r="R9" s="35"/>
      <c r="S9" s="35"/>
      <c r="T9" s="36"/>
      <c r="U9" s="36"/>
      <c r="V9" s="36"/>
      <c r="W9" s="36"/>
      <c r="X9" s="36"/>
      <c r="Y9" s="36"/>
      <c r="Z9" s="36"/>
      <c r="AA9" s="36"/>
      <c r="AB9" s="36"/>
      <c r="AC9" s="36"/>
      <c r="AD9" s="36"/>
      <c r="AE9" s="36"/>
      <c r="AF9" s="36"/>
      <c r="AG9" s="36"/>
      <c r="AH9" s="36"/>
      <c r="AI9" s="36"/>
      <c r="AJ9" s="37"/>
      <c r="AN9" s="158" t="s">
        <v>201</v>
      </c>
      <c r="AO9" s="159" t="s">
        <v>202</v>
      </c>
    </row>
    <row r="10" spans="1:77" s="24" customFormat="1" ht="18" thickTop="1" thickBot="1">
      <c r="B10" s="31"/>
      <c r="C10" s="31"/>
      <c r="D10" s="31"/>
      <c r="E10" s="31"/>
      <c r="F10" s="31"/>
      <c r="G10" s="31"/>
      <c r="H10" s="31"/>
      <c r="I10" s="31"/>
      <c r="J10" s="31"/>
      <c r="K10" s="31"/>
      <c r="L10" s="31"/>
      <c r="M10" s="31"/>
      <c r="N10" s="31"/>
      <c r="O10" s="31"/>
      <c r="P10" s="31"/>
      <c r="Q10" s="31"/>
      <c r="R10" s="31"/>
      <c r="S10" s="31"/>
      <c r="AN10" s="158" t="s">
        <v>203</v>
      </c>
      <c r="AO10" s="159" t="s">
        <v>204</v>
      </c>
    </row>
    <row r="11" spans="1:77" s="24" customFormat="1" ht="17.25" thickTop="1">
      <c r="B11" s="85" t="s">
        <v>259</v>
      </c>
      <c r="C11" s="86"/>
      <c r="D11" s="86"/>
      <c r="E11" s="86"/>
      <c r="F11" s="87"/>
      <c r="G11" s="88"/>
      <c r="H11" s="38"/>
      <c r="I11" s="25"/>
      <c r="J11" s="87"/>
      <c r="K11" s="89"/>
      <c r="L11" s="88" t="s">
        <v>256</v>
      </c>
      <c r="M11" s="38"/>
      <c r="N11" s="25"/>
      <c r="O11" s="87"/>
      <c r="P11" s="86" t="s">
        <v>197</v>
      </c>
      <c r="Q11" s="89"/>
      <c r="R11" s="25"/>
      <c r="S11" s="38"/>
      <c r="T11" s="25"/>
      <c r="U11" s="25"/>
      <c r="V11" s="25"/>
      <c r="W11" s="25"/>
      <c r="X11" s="25"/>
      <c r="Y11" s="25"/>
      <c r="Z11" s="88"/>
      <c r="AA11" s="25"/>
      <c r="AB11" s="25"/>
      <c r="AC11" s="88"/>
      <c r="AD11" s="25"/>
      <c r="AE11" s="25"/>
      <c r="AF11" s="25"/>
      <c r="AG11" s="25"/>
      <c r="AH11" s="25"/>
      <c r="AI11" s="25"/>
      <c r="AJ11" s="26"/>
      <c r="AN11" s="158" t="s">
        <v>206</v>
      </c>
      <c r="AO11" s="159" t="s">
        <v>207</v>
      </c>
    </row>
    <row r="12" spans="1:77" s="24" customFormat="1" ht="16.5">
      <c r="B12" s="27"/>
      <c r="C12" s="30" t="s">
        <v>260</v>
      </c>
      <c r="D12" s="28"/>
      <c r="E12" s="28"/>
      <c r="F12" s="29"/>
      <c r="G12" s="29"/>
      <c r="H12" s="31"/>
      <c r="J12" s="29"/>
      <c r="K12" s="33"/>
      <c r="L12" s="31"/>
      <c r="M12" s="30"/>
      <c r="N12" s="30" t="s">
        <v>261</v>
      </c>
      <c r="O12" s="31"/>
      <c r="P12" s="31"/>
      <c r="Q12" s="31"/>
      <c r="S12" s="31"/>
      <c r="V12" s="30"/>
      <c r="AC12" s="30"/>
      <c r="AJ12" s="32"/>
      <c r="AN12" s="158" t="s">
        <v>208</v>
      </c>
      <c r="AO12" s="159" t="s">
        <v>209</v>
      </c>
    </row>
    <row r="13" spans="1:77" s="24" customFormat="1" ht="17.25" thickBot="1">
      <c r="B13" s="34"/>
      <c r="C13" s="35"/>
      <c r="D13" s="35"/>
      <c r="E13" s="35"/>
      <c r="F13" s="35"/>
      <c r="G13" s="35"/>
      <c r="H13" s="35"/>
      <c r="I13" s="35"/>
      <c r="J13" s="35"/>
      <c r="K13" s="35"/>
      <c r="L13" s="35"/>
      <c r="M13" s="35"/>
      <c r="N13" s="35"/>
      <c r="O13" s="35"/>
      <c r="P13" s="35"/>
      <c r="Q13" s="35"/>
      <c r="R13" s="35"/>
      <c r="S13" s="35"/>
      <c r="T13" s="36"/>
      <c r="U13" s="36"/>
      <c r="V13" s="36"/>
      <c r="W13" s="36"/>
      <c r="X13" s="36"/>
      <c r="Y13" s="36"/>
      <c r="Z13" s="36"/>
      <c r="AA13" s="36"/>
      <c r="AB13" s="36"/>
      <c r="AC13" s="36"/>
      <c r="AD13" s="36"/>
      <c r="AE13" s="36"/>
      <c r="AF13" s="36"/>
      <c r="AG13" s="36"/>
      <c r="AH13" s="36"/>
      <c r="AI13" s="36"/>
      <c r="AJ13" s="37"/>
      <c r="AN13" s="158" t="s">
        <v>210</v>
      </c>
      <c r="AO13" s="160" t="s">
        <v>211</v>
      </c>
    </row>
    <row r="14" spans="1:77" s="24" customFormat="1" ht="18" thickTop="1" thickBot="1">
      <c r="B14" s="31"/>
      <c r="C14" s="31"/>
      <c r="D14" s="31"/>
      <c r="E14" s="31"/>
      <c r="F14" s="31"/>
      <c r="G14" s="31"/>
      <c r="H14" s="31"/>
      <c r="I14" s="31"/>
      <c r="J14" s="31"/>
      <c r="K14" s="31"/>
      <c r="L14" s="31"/>
      <c r="M14" s="31"/>
      <c r="N14" s="31"/>
      <c r="O14" s="31"/>
      <c r="P14" s="31"/>
      <c r="Q14" s="31"/>
      <c r="R14" s="31"/>
      <c r="S14" s="31"/>
      <c r="AN14" s="158" t="s">
        <v>213</v>
      </c>
      <c r="AO14" s="160" t="s">
        <v>214</v>
      </c>
    </row>
    <row r="15" spans="1:77" s="24" customFormat="1" ht="17.25" thickTop="1">
      <c r="B15" s="85" t="s">
        <v>259</v>
      </c>
      <c r="C15" s="86"/>
      <c r="D15" s="86"/>
      <c r="E15" s="86"/>
      <c r="F15" s="87"/>
      <c r="G15" s="88"/>
      <c r="H15" s="38"/>
      <c r="I15" s="25"/>
      <c r="J15" s="87"/>
      <c r="K15" s="86"/>
      <c r="L15" s="88" t="s">
        <v>256</v>
      </c>
      <c r="M15" s="38"/>
      <c r="N15" s="25"/>
      <c r="O15" s="87"/>
      <c r="P15" s="86" t="s">
        <v>197</v>
      </c>
      <c r="Q15" s="89"/>
      <c r="R15" s="25"/>
      <c r="S15" s="38"/>
      <c r="T15" s="25"/>
      <c r="U15" s="25"/>
      <c r="V15" s="25"/>
      <c r="W15" s="25"/>
      <c r="X15" s="25"/>
      <c r="Y15" s="25"/>
      <c r="Z15" s="88"/>
      <c r="AA15" s="25"/>
      <c r="AB15" s="25"/>
      <c r="AC15" s="88"/>
      <c r="AD15" s="25"/>
      <c r="AE15" s="25"/>
      <c r="AF15" s="25"/>
      <c r="AG15" s="25"/>
      <c r="AH15" s="25"/>
      <c r="AI15" s="25"/>
      <c r="AJ15" s="26"/>
      <c r="AN15" s="162" t="s">
        <v>217</v>
      </c>
      <c r="AO15" s="161" t="s">
        <v>218</v>
      </c>
    </row>
    <row r="16" spans="1:77" s="24" customFormat="1" ht="18.75">
      <c r="B16" s="27"/>
      <c r="C16" s="30" t="s">
        <v>260</v>
      </c>
      <c r="D16" s="28"/>
      <c r="E16" s="28"/>
      <c r="F16" s="29"/>
      <c r="G16" s="29"/>
      <c r="H16" s="31"/>
      <c r="I16" s="30"/>
      <c r="J16" s="29"/>
      <c r="K16" s="29"/>
      <c r="L16" s="33"/>
      <c r="M16" s="518"/>
      <c r="N16" s="518"/>
      <c r="O16" s="518"/>
      <c r="P16" s="518"/>
      <c r="Q16" s="518"/>
      <c r="R16" s="518"/>
      <c r="S16" s="518"/>
      <c r="T16" s="518"/>
      <c r="U16" s="518"/>
      <c r="V16" s="518"/>
      <c r="W16" s="518"/>
      <c r="X16" s="518"/>
      <c r="Y16" s="518"/>
      <c r="Z16" s="30"/>
      <c r="AC16" s="519" t="str">
        <f>弔事報告書!G43</f>
        <v>熊倉　和生</v>
      </c>
      <c r="AD16" s="519"/>
      <c r="AE16" s="519"/>
      <c r="AF16" s="519"/>
      <c r="AG16" s="519"/>
      <c r="AH16" s="519"/>
      <c r="AI16" s="519"/>
      <c r="AJ16" s="32"/>
    </row>
    <row r="17" spans="1:41" s="24" customFormat="1" ht="17.25" thickBot="1">
      <c r="B17" s="34"/>
      <c r="C17" s="35"/>
      <c r="D17" s="35"/>
      <c r="E17" s="35"/>
      <c r="F17" s="35"/>
      <c r="G17" s="35"/>
      <c r="H17" s="35"/>
      <c r="I17" s="35"/>
      <c r="J17" s="35"/>
      <c r="K17" s="35"/>
      <c r="L17" s="35"/>
      <c r="M17" s="35"/>
      <c r="N17" s="35"/>
      <c r="O17" s="35"/>
      <c r="P17" s="35"/>
      <c r="Q17" s="35"/>
      <c r="R17" s="35"/>
      <c r="S17" s="35"/>
      <c r="T17" s="36"/>
      <c r="U17" s="36"/>
      <c r="V17" s="36"/>
      <c r="W17" s="36"/>
      <c r="X17" s="36"/>
      <c r="Y17" s="36"/>
      <c r="Z17" s="36"/>
      <c r="AA17" s="36"/>
      <c r="AB17" s="36"/>
      <c r="AC17" s="36"/>
      <c r="AD17" s="36"/>
      <c r="AE17" s="36"/>
      <c r="AF17" s="36"/>
      <c r="AG17" s="36"/>
      <c r="AH17" s="36"/>
      <c r="AI17" s="36"/>
      <c r="AJ17" s="37"/>
      <c r="AN17" s="83" t="s">
        <v>220</v>
      </c>
      <c r="AO17" s="155" t="s">
        <v>221</v>
      </c>
    </row>
    <row r="18" spans="1:41" s="24" customFormat="1" ht="18" thickTop="1" thickBot="1">
      <c r="B18" s="31"/>
      <c r="C18" s="31"/>
      <c r="D18" s="31"/>
      <c r="E18" s="31"/>
      <c r="F18" s="31"/>
      <c r="G18" s="31"/>
      <c r="H18" s="31"/>
      <c r="I18" s="31"/>
      <c r="J18" s="31"/>
      <c r="K18" s="31"/>
      <c r="L18" s="31"/>
      <c r="M18" s="31"/>
      <c r="N18" s="31"/>
      <c r="O18" s="31"/>
      <c r="P18" s="31"/>
      <c r="Q18" s="31"/>
      <c r="R18" s="31"/>
      <c r="S18" s="31"/>
      <c r="AN18" s="84" t="s">
        <v>222</v>
      </c>
      <c r="AO18" s="156" t="s">
        <v>223</v>
      </c>
    </row>
    <row r="19" spans="1:41" s="24" customFormat="1" ht="17.25" thickTop="1">
      <c r="B19" s="85" t="s">
        <v>262</v>
      </c>
      <c r="C19" s="86"/>
      <c r="D19" s="86"/>
      <c r="E19" s="86"/>
      <c r="F19" s="87"/>
      <c r="G19" s="88"/>
      <c r="H19" s="38"/>
      <c r="I19" s="25"/>
      <c r="J19" s="87"/>
      <c r="K19" s="86"/>
      <c r="L19" s="88" t="s">
        <v>256</v>
      </c>
      <c r="M19" s="38"/>
      <c r="N19" s="25"/>
      <c r="O19" s="87"/>
      <c r="P19" s="86" t="s">
        <v>197</v>
      </c>
      <c r="Q19" s="89"/>
      <c r="R19" s="25"/>
      <c r="S19" s="38"/>
      <c r="T19" s="25"/>
      <c r="U19" s="25"/>
      <c r="V19" s="25"/>
      <c r="W19" s="25"/>
      <c r="X19" s="25"/>
      <c r="Y19" s="25"/>
      <c r="Z19" s="88"/>
      <c r="AA19" s="25"/>
      <c r="AB19" s="25"/>
      <c r="AC19" s="88"/>
      <c r="AD19" s="25"/>
      <c r="AE19" s="25"/>
      <c r="AF19" s="25"/>
      <c r="AG19" s="25"/>
      <c r="AH19" s="25"/>
      <c r="AI19" s="25"/>
      <c r="AJ19" s="26"/>
      <c r="AN19" s="84" t="s">
        <v>224</v>
      </c>
      <c r="AO19" s="156" t="s">
        <v>225</v>
      </c>
    </row>
    <row r="20" spans="1:41" s="24" customFormat="1" ht="18.75">
      <c r="B20" s="27"/>
      <c r="C20" s="30" t="s">
        <v>263</v>
      </c>
      <c r="D20" s="28"/>
      <c r="E20" s="28"/>
      <c r="F20" s="29"/>
      <c r="G20" s="29"/>
      <c r="H20" s="31"/>
      <c r="I20" s="30"/>
      <c r="J20" s="29"/>
      <c r="K20" s="29"/>
      <c r="L20" s="33"/>
      <c r="M20" s="518"/>
      <c r="N20" s="518"/>
      <c r="O20" s="518"/>
      <c r="P20" s="518"/>
      <c r="Q20" s="518"/>
      <c r="R20" s="518"/>
      <c r="S20" s="518"/>
      <c r="T20" s="518"/>
      <c r="U20" s="518"/>
      <c r="V20" s="518"/>
      <c r="W20" s="518"/>
      <c r="X20" s="518"/>
      <c r="Y20" s="518"/>
      <c r="Z20" s="30"/>
      <c r="AC20" s="519" t="str">
        <f>弔事報告書!G43</f>
        <v>熊倉　和生</v>
      </c>
      <c r="AD20" s="519"/>
      <c r="AE20" s="519"/>
      <c r="AF20" s="519"/>
      <c r="AG20" s="519"/>
      <c r="AH20" s="519"/>
      <c r="AI20" s="519"/>
      <c r="AJ20" s="32"/>
      <c r="AN20" s="84" t="s">
        <v>228</v>
      </c>
      <c r="AO20" s="156" t="s">
        <v>229</v>
      </c>
    </row>
    <row r="21" spans="1:41" s="24" customFormat="1" ht="17.25" thickBot="1">
      <c r="B21" s="34"/>
      <c r="C21" s="35"/>
      <c r="D21" s="35"/>
      <c r="E21" s="35"/>
      <c r="F21" s="35"/>
      <c r="G21" s="35"/>
      <c r="H21" s="35"/>
      <c r="I21" s="35"/>
      <c r="J21" s="35"/>
      <c r="K21" s="35"/>
      <c r="L21" s="35"/>
      <c r="M21" s="35"/>
      <c r="N21" s="35"/>
      <c r="O21" s="35"/>
      <c r="P21" s="35"/>
      <c r="Q21" s="35"/>
      <c r="R21" s="35"/>
      <c r="S21" s="35"/>
      <c r="T21" s="36"/>
      <c r="U21" s="36"/>
      <c r="V21" s="36"/>
      <c r="W21" s="36"/>
      <c r="X21" s="36"/>
      <c r="Y21" s="36"/>
      <c r="Z21" s="36"/>
      <c r="AA21" s="36"/>
      <c r="AB21" s="36"/>
      <c r="AC21" s="36"/>
      <c r="AD21" s="36"/>
      <c r="AE21" s="36"/>
      <c r="AF21" s="36"/>
      <c r="AG21" s="36"/>
      <c r="AH21" s="36"/>
      <c r="AI21" s="36"/>
      <c r="AJ21" s="37"/>
      <c r="AN21" s="84" t="s">
        <v>230</v>
      </c>
      <c r="AO21" s="156" t="s">
        <v>231</v>
      </c>
    </row>
    <row r="22" spans="1:41" s="24" customFormat="1" ht="17.25" thickTop="1">
      <c r="B22" s="31"/>
      <c r="C22" s="31"/>
      <c r="D22" s="31"/>
      <c r="E22" s="31"/>
      <c r="F22" s="31"/>
      <c r="G22" s="31"/>
      <c r="H22" s="31"/>
      <c r="I22" s="31"/>
      <c r="J22" s="31"/>
      <c r="K22" s="31"/>
      <c r="L22" s="31"/>
      <c r="M22" s="31"/>
      <c r="N22" s="31"/>
      <c r="O22" s="31"/>
      <c r="P22" s="31"/>
      <c r="Q22" s="31"/>
      <c r="R22" s="31"/>
      <c r="S22" s="31"/>
      <c r="AN22" s="82" t="s">
        <v>233</v>
      </c>
      <c r="AO22" s="157" t="s">
        <v>234</v>
      </c>
    </row>
    <row r="23" spans="1:41" s="24" customFormat="1" ht="18.75">
      <c r="A23" s="16"/>
      <c r="B23" s="63" t="s">
        <v>212</v>
      </c>
      <c r="C23" s="64"/>
      <c r="D23" s="65"/>
      <c r="E23" s="66"/>
      <c r="F23" s="66"/>
      <c r="G23" s="66"/>
      <c r="H23" s="64"/>
      <c r="I23" s="64"/>
      <c r="J23" s="64"/>
      <c r="K23" s="64"/>
      <c r="L23" s="67"/>
      <c r="M23" s="67"/>
      <c r="N23" s="64"/>
      <c r="O23" s="64"/>
      <c r="P23" s="67"/>
      <c r="Q23" s="67"/>
      <c r="R23" s="67"/>
      <c r="S23" s="68"/>
      <c r="T23" s="64"/>
      <c r="U23" s="64"/>
      <c r="V23" s="64"/>
      <c r="W23" s="64"/>
      <c r="X23" s="64"/>
      <c r="Y23" s="64"/>
      <c r="Z23" s="64"/>
      <c r="AA23" s="64"/>
      <c r="AB23" s="64"/>
      <c r="AC23" s="64"/>
      <c r="AD23" s="64"/>
      <c r="AE23" s="64"/>
      <c r="AF23" s="64"/>
      <c r="AG23" s="64"/>
      <c r="AH23" s="64"/>
      <c r="AI23" s="64"/>
      <c r="AJ23" s="64"/>
      <c r="AK23" s="16"/>
    </row>
    <row r="24" spans="1:41" s="24" customFormat="1" ht="18.75">
      <c r="A24" s="16"/>
      <c r="B24" s="18" t="s">
        <v>215</v>
      </c>
      <c r="C24" s="16"/>
      <c r="D24" s="40"/>
      <c r="E24" s="22"/>
      <c r="F24" s="22"/>
      <c r="G24" s="504">
        <f>弔事報告書!$F$19</f>
        <v>0</v>
      </c>
      <c r="H24" s="504"/>
      <c r="I24" s="508" t="s">
        <v>216</v>
      </c>
      <c r="J24" s="508"/>
      <c r="K24" s="504">
        <f>弔事報告書!$H$19</f>
        <v>0</v>
      </c>
      <c r="L24" s="504"/>
      <c r="M24" s="508" t="s">
        <v>6</v>
      </c>
      <c r="N24" s="508"/>
      <c r="O24" s="40"/>
      <c r="P24" s="40" t="s">
        <v>54</v>
      </c>
      <c r="Q24" s="504">
        <f>弔事報告書!$K$19</f>
        <v>0</v>
      </c>
      <c r="R24" s="504"/>
      <c r="S24" s="40" t="s">
        <v>55</v>
      </c>
      <c r="T24" s="40"/>
      <c r="U24" s="40"/>
      <c r="V24" s="504">
        <f>弔事報告書!$M$19</f>
        <v>0</v>
      </c>
      <c r="W24" s="504"/>
      <c r="X24" s="40" t="s">
        <v>56</v>
      </c>
      <c r="Y24" s="504">
        <f>弔事報告書!$O$19</f>
        <v>0</v>
      </c>
      <c r="Z24" s="504"/>
      <c r="AA24" s="40"/>
      <c r="AB24" s="40" t="s">
        <v>74</v>
      </c>
      <c r="AC24" s="40"/>
      <c r="AD24" s="40"/>
      <c r="AE24" s="40"/>
      <c r="AF24" s="40"/>
      <c r="AG24" s="40"/>
      <c r="AH24" s="40"/>
      <c r="AI24" s="40"/>
      <c r="AJ24" s="40"/>
      <c r="AK24" s="40"/>
    </row>
    <row r="25" spans="1:41" ht="13.5" customHeight="1">
      <c r="A25" s="16"/>
      <c r="B25" s="16"/>
      <c r="C25" s="16"/>
      <c r="D25" s="41"/>
      <c r="E25" s="42"/>
      <c r="F25" s="43"/>
      <c r="G25" s="42"/>
      <c r="H25" s="42"/>
      <c r="I25" s="42"/>
      <c r="J25" s="42"/>
      <c r="K25" s="42"/>
      <c r="L25" s="42"/>
      <c r="M25" s="41"/>
      <c r="N25" s="41"/>
      <c r="O25" s="41"/>
      <c r="P25" s="16"/>
      <c r="Q25" s="16"/>
      <c r="R25" s="16"/>
      <c r="S25" s="16"/>
      <c r="T25" s="16"/>
      <c r="U25" s="16"/>
      <c r="V25" s="16"/>
      <c r="W25" s="16"/>
      <c r="X25" s="16"/>
      <c r="Y25" s="16"/>
      <c r="Z25" s="16"/>
      <c r="AA25" s="16"/>
      <c r="AB25" s="16"/>
      <c r="AC25" s="16"/>
      <c r="AD25" s="16"/>
      <c r="AE25" s="16"/>
      <c r="AF25" s="16"/>
      <c r="AG25" s="16"/>
      <c r="AH25" s="16"/>
      <c r="AI25" s="16"/>
      <c r="AJ25" s="16"/>
      <c r="AK25" s="16"/>
    </row>
    <row r="26" spans="1:41" ht="18.75">
      <c r="A26" s="16"/>
      <c r="B26" s="18" t="s">
        <v>219</v>
      </c>
      <c r="C26" s="16"/>
      <c r="D26" s="40"/>
      <c r="E26" s="40"/>
      <c r="F26" s="40"/>
      <c r="G26" s="498">
        <f>弔事報告書!$F$22</f>
        <v>0</v>
      </c>
      <c r="H26" s="498"/>
      <c r="I26" s="498"/>
      <c r="J26" s="498"/>
      <c r="K26" s="498"/>
      <c r="L26" s="498"/>
      <c r="M26" s="498"/>
      <c r="N26" s="498"/>
      <c r="O26" s="498"/>
      <c r="P26" s="498"/>
      <c r="Q26" s="498"/>
      <c r="R26" s="498"/>
      <c r="S26" s="498"/>
      <c r="T26" s="498"/>
      <c r="U26" s="498"/>
      <c r="V26" s="498"/>
      <c r="W26" s="498"/>
      <c r="X26" s="498"/>
      <c r="Y26" s="498"/>
      <c r="Z26" s="498"/>
      <c r="AA26" s="498"/>
      <c r="AB26" s="498"/>
      <c r="AC26" s="498"/>
      <c r="AD26" s="498"/>
      <c r="AE26" s="498"/>
      <c r="AF26" s="498"/>
      <c r="AG26" s="498"/>
      <c r="AH26" s="498"/>
      <c r="AI26" s="498"/>
      <c r="AJ26" s="16"/>
      <c r="AK26" s="16"/>
    </row>
    <row r="27" spans="1:41" ht="13.5" customHeight="1">
      <c r="A27" s="16"/>
      <c r="B27" s="18"/>
      <c r="C27" s="16"/>
      <c r="D27" s="18"/>
      <c r="E27" s="41"/>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row>
    <row r="28" spans="1:41" ht="18.75">
      <c r="A28" s="16"/>
      <c r="B28" s="18"/>
      <c r="C28" s="16"/>
      <c r="D28" s="44"/>
      <c r="E28" s="40"/>
      <c r="F28" s="40"/>
      <c r="G28" s="498">
        <f>弔事報告書!$F$23</f>
        <v>0</v>
      </c>
      <c r="H28" s="498"/>
      <c r="I28" s="498"/>
      <c r="J28" s="498"/>
      <c r="K28" s="498"/>
      <c r="L28" s="498"/>
      <c r="M28" s="498"/>
      <c r="N28" s="498"/>
      <c r="O28" s="498"/>
      <c r="P28" s="498"/>
      <c r="Q28" s="498"/>
      <c r="R28" s="498"/>
      <c r="S28" s="498"/>
      <c r="T28" s="498"/>
      <c r="U28" s="498"/>
      <c r="V28" s="498"/>
      <c r="W28" s="498"/>
      <c r="X28" s="498"/>
      <c r="Y28" s="498"/>
      <c r="Z28" s="498"/>
      <c r="AA28" s="498"/>
      <c r="AB28" s="498"/>
      <c r="AC28" s="498"/>
      <c r="AD28" s="498"/>
      <c r="AE28" s="498"/>
      <c r="AF28" s="498"/>
      <c r="AG28" s="498"/>
      <c r="AH28" s="498"/>
      <c r="AI28" s="498"/>
      <c r="AJ28" s="16"/>
      <c r="AK28" s="16"/>
    </row>
    <row r="29" spans="1:41" ht="13.5" customHeight="1">
      <c r="A29" s="16"/>
      <c r="B29" s="18"/>
      <c r="C29" s="16"/>
      <c r="D29" s="22"/>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row>
    <row r="30" spans="1:41" ht="18.75">
      <c r="A30" s="16"/>
      <c r="B30" s="18" t="s">
        <v>226</v>
      </c>
      <c r="C30" s="16"/>
      <c r="D30" s="44"/>
      <c r="E30" s="44"/>
      <c r="F30" s="44"/>
      <c r="G30" s="44" t="s">
        <v>54</v>
      </c>
      <c r="H30" s="505">
        <f>弔事報告書!$Q$20</f>
        <v>0</v>
      </c>
      <c r="I30" s="505"/>
      <c r="J30" s="505"/>
      <c r="K30" s="505"/>
      <c r="L30" s="505"/>
      <c r="M30" s="505"/>
      <c r="N30" s="44" t="s">
        <v>55</v>
      </c>
      <c r="O30" s="44"/>
      <c r="P30" s="505">
        <f>弔事報告書!$T$20</f>
        <v>0</v>
      </c>
      <c r="Q30" s="505"/>
      <c r="R30" s="505"/>
      <c r="S30" s="505"/>
      <c r="T30" s="44"/>
      <c r="U30" s="506" t="s">
        <v>227</v>
      </c>
      <c r="V30" s="506"/>
      <c r="W30" s="44"/>
      <c r="X30" s="507">
        <f>弔事報告書!$W$20</f>
        <v>0</v>
      </c>
      <c r="Y30" s="507"/>
      <c r="Z30" s="507"/>
      <c r="AA30" s="507"/>
      <c r="AB30" s="507"/>
      <c r="AC30" s="507"/>
      <c r="AD30" s="507"/>
      <c r="AE30" s="507"/>
      <c r="AF30" s="507"/>
      <c r="AG30" s="507"/>
      <c r="AH30" s="507"/>
      <c r="AI30" s="507"/>
      <c r="AJ30" s="16"/>
      <c r="AK30" s="16"/>
    </row>
    <row r="31" spans="1:41" ht="13.5" customHeight="1">
      <c r="A31" s="16"/>
      <c r="B31" s="16"/>
      <c r="C31" s="16"/>
      <c r="D31" s="18"/>
      <c r="E31" s="45"/>
      <c r="F31" s="45"/>
      <c r="G31" s="45"/>
      <c r="H31" s="45"/>
      <c r="I31" s="45"/>
      <c r="J31" s="45"/>
      <c r="K31" s="45"/>
      <c r="L31" s="45"/>
      <c r="M31" s="45"/>
      <c r="N31" s="45"/>
      <c r="O31" s="45"/>
      <c r="P31" s="45"/>
      <c r="Q31" s="46"/>
      <c r="R31" s="46"/>
      <c r="S31" s="46"/>
      <c r="T31" s="16"/>
      <c r="U31" s="16"/>
      <c r="V31" s="16"/>
      <c r="W31" s="16"/>
      <c r="X31" s="16"/>
      <c r="Y31" s="16"/>
      <c r="Z31" s="16"/>
      <c r="AA31" s="16"/>
      <c r="AB31" s="16"/>
      <c r="AC31" s="16"/>
      <c r="AD31" s="16"/>
      <c r="AE31" s="16"/>
      <c r="AF31" s="16"/>
      <c r="AG31" s="16"/>
      <c r="AH31" s="16"/>
      <c r="AI31" s="16"/>
      <c r="AJ31" s="16"/>
      <c r="AK31" s="16"/>
    </row>
    <row r="32" spans="1:41" ht="18.75">
      <c r="A32" s="16"/>
      <c r="B32" s="63" t="s">
        <v>232</v>
      </c>
      <c r="C32" s="64"/>
      <c r="D32" s="69"/>
      <c r="E32" s="69"/>
      <c r="F32" s="69"/>
      <c r="G32" s="69"/>
      <c r="H32" s="69"/>
      <c r="I32" s="69"/>
      <c r="J32" s="69"/>
      <c r="K32" s="69"/>
      <c r="L32" s="69"/>
      <c r="M32" s="69"/>
      <c r="N32" s="69"/>
      <c r="O32" s="69"/>
      <c r="P32" s="69"/>
      <c r="Q32" s="69"/>
      <c r="R32" s="69"/>
      <c r="S32" s="69"/>
      <c r="T32" s="64"/>
      <c r="U32" s="64"/>
      <c r="V32" s="64"/>
      <c r="W32" s="64"/>
      <c r="X32" s="64"/>
      <c r="Y32" s="64"/>
      <c r="Z32" s="64"/>
      <c r="AA32" s="64"/>
      <c r="AB32" s="64"/>
      <c r="AC32" s="64"/>
      <c r="AD32" s="64"/>
      <c r="AE32" s="64"/>
      <c r="AF32" s="64"/>
      <c r="AG32" s="64"/>
      <c r="AH32" s="64"/>
      <c r="AI32" s="64"/>
      <c r="AJ32" s="64"/>
      <c r="AK32" s="16"/>
    </row>
    <row r="33" spans="1:41" ht="18.75">
      <c r="A33" s="16"/>
      <c r="B33" s="18" t="s">
        <v>215</v>
      </c>
      <c r="C33" s="16"/>
      <c r="D33" s="44"/>
      <c r="E33" s="16"/>
      <c r="F33" s="22"/>
      <c r="G33" s="504">
        <f>弔事報告書!$F$24</f>
        <v>0</v>
      </c>
      <c r="H33" s="504"/>
      <c r="I33" s="508" t="s">
        <v>216</v>
      </c>
      <c r="J33" s="508"/>
      <c r="K33" s="504">
        <f>弔事報告書!$H$24</f>
        <v>0</v>
      </c>
      <c r="L33" s="504"/>
      <c r="M33" s="508" t="s">
        <v>6</v>
      </c>
      <c r="N33" s="508"/>
      <c r="O33" s="40"/>
      <c r="P33" s="40" t="s">
        <v>54</v>
      </c>
      <c r="Q33" s="504">
        <f>弔事報告書!$K$24</f>
        <v>0</v>
      </c>
      <c r="R33" s="504"/>
      <c r="S33" s="40" t="s">
        <v>55</v>
      </c>
      <c r="T33" s="40"/>
      <c r="U33" s="40"/>
      <c r="V33" s="504">
        <f>弔事報告書!$M$24</f>
        <v>0</v>
      </c>
      <c r="W33" s="504"/>
      <c r="X33" s="40" t="s">
        <v>56</v>
      </c>
      <c r="Y33" s="504">
        <f>弔事報告書!$O$24</f>
        <v>0</v>
      </c>
      <c r="Z33" s="504"/>
      <c r="AA33" s="40"/>
      <c r="AB33" s="40" t="s">
        <v>74</v>
      </c>
      <c r="AC33" s="40"/>
      <c r="AD33" s="40"/>
      <c r="AE33" s="40"/>
      <c r="AF33" s="40"/>
      <c r="AG33" s="40"/>
      <c r="AH33" s="40"/>
      <c r="AI33" s="40"/>
      <c r="AJ33" s="40"/>
      <c r="AK33" s="16"/>
    </row>
    <row r="34" spans="1:41" ht="13.5" customHeight="1">
      <c r="A34" s="16"/>
      <c r="B34" s="16"/>
      <c r="C34" s="16"/>
      <c r="D34" s="41"/>
      <c r="E34" s="42"/>
      <c r="F34" s="43"/>
      <c r="G34" s="42"/>
      <c r="H34" s="42"/>
      <c r="I34" s="42"/>
      <c r="J34" s="42"/>
      <c r="K34" s="42"/>
      <c r="L34" s="42"/>
      <c r="M34" s="41"/>
      <c r="N34" s="41"/>
      <c r="O34" s="41"/>
      <c r="P34" s="16"/>
      <c r="Q34" s="16"/>
      <c r="R34" s="16"/>
      <c r="S34" s="16"/>
      <c r="T34" s="16"/>
      <c r="U34" s="16"/>
      <c r="V34" s="16"/>
      <c r="W34" s="16"/>
      <c r="X34" s="16"/>
      <c r="Y34" s="16"/>
      <c r="Z34" s="16"/>
      <c r="AA34" s="16"/>
      <c r="AB34" s="16"/>
      <c r="AC34" s="16"/>
      <c r="AD34" s="16"/>
      <c r="AE34" s="16"/>
      <c r="AF34" s="16"/>
      <c r="AG34" s="16"/>
      <c r="AH34" s="16"/>
      <c r="AI34" s="16"/>
      <c r="AJ34" s="16"/>
      <c r="AK34" s="16"/>
    </row>
    <row r="35" spans="1:41" ht="18.75">
      <c r="A35" s="16"/>
      <c r="B35" s="18" t="s">
        <v>219</v>
      </c>
      <c r="C35" s="16"/>
      <c r="D35" s="44"/>
      <c r="E35" s="44"/>
      <c r="F35" s="40"/>
      <c r="G35" s="498" t="str">
        <f>IF(弔事報告書!$F$27="","通夜に同じ",弔事報告書!$F$27)</f>
        <v>通夜に同じ</v>
      </c>
      <c r="H35" s="498"/>
      <c r="I35" s="498"/>
      <c r="J35" s="498"/>
      <c r="K35" s="498"/>
      <c r="L35" s="498"/>
      <c r="M35" s="498"/>
      <c r="N35" s="498"/>
      <c r="O35" s="498"/>
      <c r="P35" s="498"/>
      <c r="Q35" s="498"/>
      <c r="R35" s="498"/>
      <c r="S35" s="498"/>
      <c r="T35" s="498"/>
      <c r="U35" s="498"/>
      <c r="V35" s="498"/>
      <c r="W35" s="498"/>
      <c r="X35" s="498"/>
      <c r="Y35" s="498"/>
      <c r="Z35" s="498"/>
      <c r="AA35" s="498"/>
      <c r="AB35" s="498"/>
      <c r="AC35" s="498"/>
      <c r="AD35" s="498"/>
      <c r="AE35" s="498"/>
      <c r="AF35" s="498"/>
      <c r="AG35" s="498"/>
      <c r="AH35" s="498"/>
      <c r="AI35" s="498"/>
      <c r="AJ35" s="16"/>
      <c r="AK35" s="16"/>
    </row>
    <row r="36" spans="1:41" ht="13.5" customHeight="1">
      <c r="A36" s="16"/>
      <c r="B36" s="18"/>
      <c r="C36" s="16"/>
      <c r="D36" s="18"/>
      <c r="E36" s="41"/>
      <c r="F36" s="16"/>
      <c r="G36" s="16"/>
      <c r="H36" s="16"/>
      <c r="I36" s="16"/>
      <c r="J36" s="16"/>
      <c r="K36" s="16"/>
      <c r="L36" s="16"/>
      <c r="M36" s="16"/>
      <c r="N36" s="16"/>
      <c r="O36" s="16"/>
      <c r="P36" s="16"/>
      <c r="Q36" s="16"/>
      <c r="R36" s="16"/>
      <c r="S36" s="46"/>
      <c r="T36" s="16"/>
      <c r="U36" s="16"/>
      <c r="V36" s="16"/>
      <c r="W36" s="16"/>
      <c r="X36" s="16"/>
      <c r="Y36" s="16"/>
      <c r="Z36" s="16"/>
      <c r="AA36" s="16"/>
      <c r="AB36" s="16"/>
      <c r="AC36" s="16"/>
      <c r="AD36" s="16"/>
      <c r="AE36" s="16"/>
      <c r="AF36" s="16"/>
      <c r="AG36" s="16"/>
      <c r="AH36" s="16"/>
      <c r="AI36" s="16"/>
      <c r="AJ36" s="16"/>
      <c r="AK36" s="16"/>
    </row>
    <row r="37" spans="1:41" ht="18.75">
      <c r="A37" s="16"/>
      <c r="B37" s="18"/>
      <c r="C37" s="16"/>
      <c r="D37" s="44"/>
      <c r="E37" s="40"/>
      <c r="F37" s="40"/>
      <c r="G37" s="498">
        <f>弔事報告書!F28</f>
        <v>0</v>
      </c>
      <c r="H37" s="498"/>
      <c r="I37" s="498"/>
      <c r="J37" s="498"/>
      <c r="K37" s="498"/>
      <c r="L37" s="498"/>
      <c r="M37" s="498"/>
      <c r="N37" s="498"/>
      <c r="O37" s="498"/>
      <c r="P37" s="498"/>
      <c r="Q37" s="498"/>
      <c r="R37" s="498"/>
      <c r="S37" s="498"/>
      <c r="T37" s="498"/>
      <c r="U37" s="498"/>
      <c r="V37" s="498"/>
      <c r="W37" s="498"/>
      <c r="X37" s="498"/>
      <c r="Y37" s="498"/>
      <c r="Z37" s="498"/>
      <c r="AA37" s="498"/>
      <c r="AB37" s="498"/>
      <c r="AC37" s="498"/>
      <c r="AD37" s="498"/>
      <c r="AE37" s="498"/>
      <c r="AF37" s="498"/>
      <c r="AG37" s="498"/>
      <c r="AH37" s="498"/>
      <c r="AI37" s="498"/>
      <c r="AJ37" s="16"/>
      <c r="AK37" s="16"/>
    </row>
    <row r="38" spans="1:41" ht="13.5" customHeight="1">
      <c r="A38" s="16"/>
      <c r="B38" s="18"/>
      <c r="C38" s="16"/>
      <c r="D38" s="41"/>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row>
    <row r="39" spans="1:41" ht="18.75">
      <c r="A39" s="16"/>
      <c r="B39" s="18" t="s">
        <v>226</v>
      </c>
      <c r="C39" s="16"/>
      <c r="D39" s="44"/>
      <c r="E39" s="44"/>
      <c r="F39" s="44"/>
      <c r="G39" s="44" t="s">
        <v>54</v>
      </c>
      <c r="H39" s="505">
        <f>弔事報告書!$Q$26</f>
        <v>0</v>
      </c>
      <c r="I39" s="505"/>
      <c r="J39" s="505"/>
      <c r="K39" s="505"/>
      <c r="L39" s="505"/>
      <c r="M39" s="505"/>
      <c r="N39" s="44" t="s">
        <v>55</v>
      </c>
      <c r="O39" s="44"/>
      <c r="P39" s="505">
        <f>弔事報告書!$T$26</f>
        <v>0</v>
      </c>
      <c r="Q39" s="505"/>
      <c r="R39" s="505"/>
      <c r="S39" s="505"/>
      <c r="T39" s="44"/>
      <c r="U39" s="506" t="s">
        <v>227</v>
      </c>
      <c r="V39" s="506"/>
      <c r="W39" s="44"/>
      <c r="X39" s="507">
        <f>弔事報告書!$W$26</f>
        <v>0</v>
      </c>
      <c r="Y39" s="507"/>
      <c r="Z39" s="507"/>
      <c r="AA39" s="507"/>
      <c r="AB39" s="507"/>
      <c r="AC39" s="507"/>
      <c r="AD39" s="507"/>
      <c r="AE39" s="507"/>
      <c r="AF39" s="507"/>
      <c r="AG39" s="507"/>
      <c r="AH39" s="507"/>
      <c r="AI39" s="507"/>
      <c r="AJ39" s="16"/>
      <c r="AK39" s="16"/>
    </row>
    <row r="40" spans="1:41" ht="18.75" customHeight="1">
      <c r="D40" s="47"/>
      <c r="F40" s="497" t="str">
        <f>弔事報告書!$F$29</f>
        <v/>
      </c>
      <c r="G40" s="497"/>
      <c r="H40" s="497"/>
      <c r="I40" s="497"/>
      <c r="J40" s="497"/>
      <c r="K40" s="497"/>
      <c r="L40" s="497"/>
      <c r="M40" s="497"/>
      <c r="N40" s="497"/>
      <c r="O40" s="497"/>
      <c r="P40" s="497"/>
      <c r="Q40" s="497"/>
      <c r="S40" s="48"/>
      <c r="X40" s="503" t="str">
        <f>弔事報告書!$F$15</f>
        <v/>
      </c>
      <c r="Y40" s="503"/>
      <c r="Z40" s="503"/>
      <c r="AA40" s="503"/>
      <c r="AB40" s="503"/>
      <c r="AC40" s="503"/>
      <c r="AD40" s="503"/>
      <c r="AE40" s="503"/>
      <c r="AF40" s="503"/>
      <c r="AG40" s="503"/>
    </row>
    <row r="41" spans="1:41" ht="21">
      <c r="B41" s="49" t="s">
        <v>235</v>
      </c>
      <c r="D41" s="50"/>
      <c r="E41" s="51"/>
      <c r="F41" s="498">
        <f>弔事報告書!$F$30</f>
        <v>0</v>
      </c>
      <c r="G41" s="498"/>
      <c r="H41" s="498"/>
      <c r="I41" s="498"/>
      <c r="J41" s="498"/>
      <c r="K41" s="498"/>
      <c r="L41" s="498"/>
      <c r="M41" s="498"/>
      <c r="N41" s="498"/>
      <c r="O41" s="498"/>
      <c r="P41" s="498"/>
      <c r="Q41" s="498"/>
      <c r="R41" s="52" t="s">
        <v>236</v>
      </c>
      <c r="S41" s="51"/>
      <c r="T41" s="52"/>
      <c r="U41" s="49" t="s">
        <v>237</v>
      </c>
      <c r="X41" s="502">
        <f>弔事報告書!$F$16</f>
        <v>0</v>
      </c>
      <c r="Y41" s="502"/>
      <c r="Z41" s="502"/>
      <c r="AA41" s="502"/>
      <c r="AB41" s="502"/>
      <c r="AC41" s="502"/>
      <c r="AD41" s="502"/>
      <c r="AE41" s="502"/>
      <c r="AF41" s="502"/>
      <c r="AG41" s="502"/>
      <c r="AH41" s="52" t="s">
        <v>236</v>
      </c>
      <c r="AI41" s="243"/>
    </row>
    <row r="42" spans="1:41" ht="13.5" customHeight="1">
      <c r="D42" s="53"/>
      <c r="F42" s="54"/>
      <c r="G42" s="55"/>
      <c r="S42" s="48"/>
      <c r="U42" s="19" t="s">
        <v>238</v>
      </c>
      <c r="AA42" s="503">
        <f>弔事報告書!$AA$29</f>
        <v>0</v>
      </c>
      <c r="AB42" s="503"/>
      <c r="AC42" s="503"/>
      <c r="AD42" s="503"/>
      <c r="AE42" s="503"/>
      <c r="AF42" s="503"/>
      <c r="AG42" s="503"/>
    </row>
    <row r="43" spans="1:41" ht="21">
      <c r="B43" s="49" t="s">
        <v>239</v>
      </c>
      <c r="D43" s="51"/>
      <c r="E43" s="51"/>
      <c r="F43" s="498" t="str">
        <f>TRIM(弔事報告書!$AQ$17)</f>
        <v/>
      </c>
      <c r="G43" s="498"/>
      <c r="H43" s="498"/>
      <c r="I43" s="498"/>
      <c r="J43" s="498"/>
      <c r="K43" s="498"/>
      <c r="L43" s="498"/>
      <c r="M43" s="498"/>
      <c r="N43" s="498"/>
      <c r="O43" s="498"/>
      <c r="P43" s="498"/>
      <c r="Q43" s="498"/>
      <c r="R43" s="498"/>
      <c r="S43" s="498"/>
      <c r="T43" s="501" t="str">
        <f>IF(F43="","※必須入力です","")</f>
        <v>※必須入力です</v>
      </c>
      <c r="U43" s="501"/>
      <c r="V43" s="501"/>
      <c r="W43" s="501"/>
      <c r="X43" s="501"/>
      <c r="Y43" s="501"/>
      <c r="Z43" s="501"/>
      <c r="AA43" s="501"/>
      <c r="AB43" s="501"/>
      <c r="AC43" s="501"/>
      <c r="AD43" s="501"/>
      <c r="AE43" s="501"/>
      <c r="AF43" s="501"/>
      <c r="AG43" s="501"/>
      <c r="AH43" s="501"/>
      <c r="AI43" s="501"/>
    </row>
    <row r="44" spans="1:41" ht="13.5" customHeight="1">
      <c r="D44" s="56"/>
      <c r="E44" s="56"/>
      <c r="F44" s="56"/>
      <c r="G44" s="56"/>
      <c r="H44" s="56"/>
      <c r="I44" s="56"/>
      <c r="J44" s="56"/>
      <c r="K44" s="56"/>
      <c r="L44" s="56"/>
      <c r="M44" s="48"/>
      <c r="N44" s="48"/>
      <c r="O44" s="48"/>
      <c r="P44" s="48"/>
      <c r="Q44" s="48"/>
      <c r="R44" s="48"/>
      <c r="S44" s="48"/>
    </row>
    <row r="45" spans="1:41" ht="16.5">
      <c r="A45" s="57"/>
      <c r="B45" s="70" t="s">
        <v>240</v>
      </c>
      <c r="C45" s="70"/>
      <c r="D45" s="71"/>
      <c r="E45" s="72"/>
      <c r="F45" s="70"/>
      <c r="G45" s="70"/>
      <c r="H45" s="70"/>
      <c r="I45" s="70"/>
      <c r="J45" s="70"/>
      <c r="K45" s="70"/>
      <c r="L45" s="70"/>
      <c r="M45" s="72"/>
      <c r="N45" s="72"/>
      <c r="O45" s="72"/>
      <c r="P45" s="72"/>
      <c r="Q45" s="72"/>
      <c r="R45" s="72"/>
      <c r="S45" s="72"/>
      <c r="T45" s="71"/>
      <c r="U45" s="71"/>
      <c r="V45" s="71"/>
      <c r="W45" s="71"/>
      <c r="X45" s="71"/>
      <c r="Y45" s="71"/>
      <c r="Z45" s="71"/>
      <c r="AA45" s="71"/>
      <c r="AB45" s="71"/>
      <c r="AC45" s="71"/>
      <c r="AD45" s="71"/>
      <c r="AE45" s="71"/>
      <c r="AF45" s="71"/>
      <c r="AG45" s="71"/>
      <c r="AH45" s="71"/>
      <c r="AI45" s="71"/>
      <c r="AJ45" s="71"/>
    </row>
    <row r="46" spans="1:41" s="5" customFormat="1" ht="16.5">
      <c r="A46" s="57"/>
      <c r="B46" s="56"/>
      <c r="C46" s="56"/>
      <c r="D46" s="19"/>
      <c r="E46" s="48"/>
      <c r="F46" s="56" t="s">
        <v>241</v>
      </c>
      <c r="G46" s="48"/>
      <c r="H46" s="48"/>
      <c r="I46" s="48"/>
      <c r="J46" s="48"/>
      <c r="K46" s="499"/>
      <c r="L46" s="499"/>
      <c r="M46" s="499"/>
      <c r="N46" s="499"/>
      <c r="O46" s="499"/>
      <c r="P46" s="499"/>
      <c r="Q46" s="499"/>
      <c r="R46" s="499"/>
      <c r="S46" s="499"/>
      <c r="T46" s="184"/>
      <c r="U46" s="184"/>
      <c r="V46" s="184" t="s">
        <v>242</v>
      </c>
      <c r="W46" s="184"/>
      <c r="X46" s="184"/>
      <c r="Y46" s="500"/>
      <c r="Z46" s="500"/>
      <c r="AA46" s="500"/>
      <c r="AB46" s="500"/>
      <c r="AC46" s="500"/>
      <c r="AD46" s="500"/>
      <c r="AE46" s="500"/>
      <c r="AF46" s="500"/>
      <c r="AG46" s="500"/>
      <c r="AH46" s="500"/>
      <c r="AI46" s="500"/>
      <c r="AJ46" s="500"/>
      <c r="AK46" s="19"/>
      <c r="AL46" s="21"/>
      <c r="AM46" s="21"/>
      <c r="AN46" s="19"/>
      <c r="AO46" s="19"/>
    </row>
    <row r="47" spans="1:41" s="5" customFormat="1" ht="13.5" customHeight="1">
      <c r="A47" s="19"/>
      <c r="B47" s="56"/>
      <c r="C47" s="48"/>
      <c r="D47" s="60"/>
      <c r="E47" s="60"/>
      <c r="F47" s="56"/>
      <c r="G47" s="48"/>
      <c r="H47" s="48"/>
      <c r="I47" s="48"/>
      <c r="J47" s="48"/>
      <c r="K47" s="48"/>
      <c r="L47" s="58"/>
      <c r="M47" s="48"/>
      <c r="N47" s="48"/>
      <c r="O47" s="48"/>
      <c r="P47" s="48"/>
      <c r="Q47" s="59"/>
      <c r="R47" s="48"/>
      <c r="S47" s="48"/>
      <c r="T47" s="56"/>
      <c r="U47" s="56"/>
      <c r="V47" s="56"/>
      <c r="W47" s="56"/>
      <c r="X47" s="56"/>
      <c r="Y47" s="56"/>
      <c r="Z47" s="56"/>
      <c r="AA47" s="56"/>
      <c r="AB47" s="56"/>
      <c r="AC47" s="56"/>
      <c r="AD47" s="56"/>
      <c r="AE47" s="56"/>
      <c r="AF47" s="56"/>
      <c r="AG47" s="56"/>
      <c r="AH47" s="56"/>
      <c r="AI47" s="56"/>
      <c r="AJ47" s="19"/>
      <c r="AK47" s="19"/>
      <c r="AL47" s="21"/>
      <c r="AM47" s="21"/>
      <c r="AN47" s="19"/>
      <c r="AO47" s="19"/>
    </row>
    <row r="48" spans="1:41" ht="16.5">
      <c r="A48" s="57"/>
      <c r="B48" s="56"/>
      <c r="C48" s="56"/>
      <c r="E48" s="48"/>
      <c r="F48" s="56" t="s">
        <v>243</v>
      </c>
      <c r="G48" s="48"/>
      <c r="H48" s="48"/>
      <c r="I48" s="48"/>
      <c r="J48" s="48"/>
      <c r="K48" s="492">
        <f>弔事報告書!$AC$57</f>
        <v>0</v>
      </c>
      <c r="L48" s="492"/>
      <c r="M48" s="492"/>
      <c r="N48" s="492"/>
      <c r="O48" s="492"/>
      <c r="P48" s="492"/>
      <c r="Q48" s="492"/>
      <c r="R48" s="492"/>
      <c r="S48" s="492"/>
      <c r="T48" s="492"/>
      <c r="U48" s="492"/>
      <c r="V48" s="492"/>
      <c r="W48" s="492"/>
      <c r="X48" s="492"/>
      <c r="Y48" s="492"/>
      <c r="Z48" s="492"/>
      <c r="AA48" s="492"/>
      <c r="AB48" s="492"/>
      <c r="AC48" s="492"/>
      <c r="AD48" s="492"/>
      <c r="AE48" s="492"/>
      <c r="AF48" s="492"/>
      <c r="AG48" s="492"/>
      <c r="AH48" s="492"/>
      <c r="AI48" s="492"/>
      <c r="AJ48" s="492"/>
    </row>
    <row r="49" spans="1:41" ht="13.5" customHeight="1">
      <c r="B49" s="56"/>
      <c r="C49" s="48"/>
      <c r="D49" s="60"/>
      <c r="E49" s="60"/>
      <c r="F49" s="56"/>
      <c r="G49" s="48"/>
      <c r="H49" s="48"/>
      <c r="I49" s="48"/>
      <c r="J49" s="48"/>
      <c r="K49" s="48"/>
      <c r="L49" s="48"/>
      <c r="M49" s="48"/>
      <c r="N49" s="48"/>
      <c r="O49" s="48"/>
      <c r="P49" s="48"/>
      <c r="Q49" s="59"/>
      <c r="R49" s="48"/>
      <c r="S49" s="48"/>
      <c r="T49" s="56"/>
      <c r="U49" s="56"/>
      <c r="V49" s="56"/>
      <c r="W49" s="56"/>
      <c r="X49" s="56"/>
      <c r="Y49" s="56"/>
      <c r="Z49" s="56"/>
      <c r="AA49" s="56"/>
      <c r="AB49" s="56"/>
      <c r="AC49" s="56"/>
      <c r="AD49" s="56"/>
      <c r="AE49" s="56"/>
      <c r="AF49" s="56"/>
      <c r="AG49" s="56"/>
      <c r="AH49" s="56"/>
      <c r="AI49" s="56"/>
      <c r="AM49" s="21"/>
    </row>
    <row r="50" spans="1:41" ht="18.75">
      <c r="B50" s="56"/>
      <c r="C50" s="48"/>
      <c r="D50" s="60"/>
      <c r="E50" s="60"/>
      <c r="F50" s="56" t="s">
        <v>244</v>
      </c>
      <c r="H50" s="61"/>
      <c r="I50" s="56"/>
      <c r="J50" s="56"/>
      <c r="K50" s="492">
        <f>弔事報告書!$AC$55</f>
        <v>0</v>
      </c>
      <c r="L50" s="492"/>
      <c r="M50" s="492"/>
      <c r="N50" s="492"/>
      <c r="O50" s="492"/>
      <c r="P50" s="492"/>
      <c r="Q50" s="492"/>
      <c r="R50" s="492"/>
      <c r="S50" s="492"/>
      <c r="T50" s="56"/>
      <c r="U50" s="493" t="s">
        <v>245</v>
      </c>
      <c r="V50" s="493"/>
      <c r="W50" s="493"/>
      <c r="X50" s="493"/>
      <c r="Y50" s="494">
        <f>弔事報告書!$AC$61</f>
        <v>0</v>
      </c>
      <c r="Z50" s="495"/>
      <c r="AA50" s="495"/>
      <c r="AB50" s="495"/>
      <c r="AC50" s="495"/>
      <c r="AD50" s="495"/>
      <c r="AE50" s="495"/>
      <c r="AF50" s="495"/>
      <c r="AG50" s="495"/>
      <c r="AH50" s="495"/>
      <c r="AI50" s="495"/>
      <c r="AJ50" s="495"/>
      <c r="AL50" s="21"/>
      <c r="AM50" s="21"/>
    </row>
    <row r="51" spans="1:41" ht="13.5" customHeight="1">
      <c r="C51" s="62"/>
      <c r="E51" s="48"/>
      <c r="F51" s="56"/>
      <c r="H51" s="61"/>
      <c r="I51" s="56"/>
      <c r="J51" s="56"/>
      <c r="K51" s="56"/>
      <c r="L51" s="56"/>
      <c r="M51" s="56"/>
      <c r="N51" s="56"/>
      <c r="O51" s="56"/>
      <c r="P51" s="56"/>
      <c r="Q51" s="56"/>
      <c r="R51" s="56"/>
      <c r="S51" s="48"/>
      <c r="T51" s="48"/>
      <c r="AL51" s="21"/>
      <c r="AM51" s="21"/>
    </row>
    <row r="52" spans="1:41" ht="16.5">
      <c r="B52" s="70" t="s">
        <v>246</v>
      </c>
      <c r="C52" s="71"/>
      <c r="D52" s="71"/>
      <c r="E52" s="71"/>
      <c r="F52" s="71"/>
      <c r="G52" s="71"/>
      <c r="H52" s="72"/>
      <c r="I52" s="72"/>
      <c r="J52" s="72"/>
      <c r="K52" s="496" t="s">
        <v>247</v>
      </c>
      <c r="L52" s="496"/>
      <c r="M52" s="496"/>
      <c r="N52" s="496"/>
      <c r="O52" s="496"/>
      <c r="P52" s="496"/>
      <c r="Q52" s="496"/>
      <c r="R52" s="496"/>
      <c r="S52" s="496"/>
      <c r="T52" s="496"/>
      <c r="U52" s="496"/>
      <c r="V52" s="496"/>
      <c r="W52" s="496"/>
      <c r="X52" s="496"/>
      <c r="Y52" s="496"/>
      <c r="Z52" s="496"/>
      <c r="AA52" s="496"/>
      <c r="AB52" s="496"/>
      <c r="AC52" s="496"/>
      <c r="AD52" s="496"/>
      <c r="AE52" s="496"/>
      <c r="AF52" s="496"/>
      <c r="AG52" s="496"/>
      <c r="AH52" s="496"/>
      <c r="AI52" s="496"/>
      <c r="AJ52" s="496"/>
      <c r="AL52" s="21"/>
      <c r="AM52" s="21"/>
    </row>
    <row r="53" spans="1:41" ht="16.5" customHeight="1">
      <c r="A53" s="57"/>
      <c r="B53" s="514" t="s">
        <v>248</v>
      </c>
      <c r="C53" s="514"/>
      <c r="D53" s="514"/>
      <c r="F53" s="56" t="s">
        <v>249</v>
      </c>
      <c r="W53" s="516"/>
      <c r="X53" s="516"/>
      <c r="Y53" s="56" t="s">
        <v>250</v>
      </c>
      <c r="AL53" s="21"/>
    </row>
    <row r="54" spans="1:41" s="5" customFormat="1" ht="16.5">
      <c r="A54" s="57"/>
      <c r="B54" s="514"/>
      <c r="C54" s="514"/>
      <c r="D54" s="514"/>
      <c r="E54" s="185"/>
      <c r="F54" s="56" t="s">
        <v>241</v>
      </c>
      <c r="G54" s="48"/>
      <c r="H54" s="48"/>
      <c r="I54" s="48"/>
      <c r="J54" s="48"/>
      <c r="K54" s="499" t="s">
        <v>251</v>
      </c>
      <c r="L54" s="499"/>
      <c r="M54" s="499"/>
      <c r="N54" s="499"/>
      <c r="O54" s="499"/>
      <c r="P54" s="499"/>
      <c r="Q54" s="499"/>
      <c r="R54" s="499"/>
      <c r="S54" s="499"/>
      <c r="T54" s="184"/>
      <c r="U54" s="184"/>
      <c r="V54" s="184" t="s">
        <v>242</v>
      </c>
      <c r="W54" s="184"/>
      <c r="X54" s="184"/>
      <c r="Y54" s="500" t="s">
        <v>252</v>
      </c>
      <c r="Z54" s="500"/>
      <c r="AA54" s="500"/>
      <c r="AB54" s="500"/>
      <c r="AC54" s="500"/>
      <c r="AD54" s="500"/>
      <c r="AE54" s="500"/>
      <c r="AF54" s="500"/>
      <c r="AG54" s="500"/>
      <c r="AH54" s="500"/>
      <c r="AI54" s="500"/>
      <c r="AJ54" s="500"/>
      <c r="AK54" s="19"/>
      <c r="AL54" s="21"/>
      <c r="AM54" s="21"/>
      <c r="AN54" s="19"/>
      <c r="AO54" s="19"/>
    </row>
    <row r="55" spans="1:41" s="5" customFormat="1" ht="13.5" customHeight="1">
      <c r="A55" s="19"/>
      <c r="B55" s="514"/>
      <c r="C55" s="514"/>
      <c r="D55" s="514"/>
      <c r="E55" s="185"/>
      <c r="F55" s="56"/>
      <c r="G55" s="48"/>
      <c r="H55" s="48"/>
      <c r="I55" s="48"/>
      <c r="J55" s="48"/>
      <c r="K55" s="48"/>
      <c r="L55" s="58"/>
      <c r="M55" s="48"/>
      <c r="N55" s="48"/>
      <c r="O55" s="48"/>
      <c r="P55" s="48"/>
      <c r="Q55" s="59"/>
      <c r="R55" s="48"/>
      <c r="S55" s="48"/>
      <c r="T55" s="56"/>
      <c r="U55" s="56"/>
      <c r="V55" s="56"/>
      <c r="W55" s="56"/>
      <c r="X55" s="56"/>
      <c r="Y55" s="56"/>
      <c r="Z55" s="56"/>
      <c r="AA55" s="56"/>
      <c r="AB55" s="56"/>
      <c r="AC55" s="56"/>
      <c r="AD55" s="56"/>
      <c r="AE55" s="56"/>
      <c r="AF55" s="56"/>
      <c r="AG55" s="56"/>
      <c r="AH55" s="56"/>
      <c r="AI55" s="56"/>
      <c r="AJ55" s="19"/>
      <c r="AK55" s="19"/>
      <c r="AL55" s="21"/>
      <c r="AM55" s="21"/>
      <c r="AN55" s="19"/>
      <c r="AO55" s="19"/>
    </row>
    <row r="56" spans="1:41" ht="16.5">
      <c r="A56" s="57"/>
      <c r="B56" s="514"/>
      <c r="C56" s="514"/>
      <c r="D56" s="514"/>
      <c r="F56" s="56" t="s">
        <v>243</v>
      </c>
      <c r="G56" s="48"/>
      <c r="H56" s="48"/>
      <c r="I56" s="48"/>
      <c r="J56" s="48"/>
      <c r="K56" s="517" t="s">
        <v>253</v>
      </c>
      <c r="L56" s="517"/>
      <c r="M56" s="517"/>
      <c r="N56" s="517"/>
      <c r="O56" s="517"/>
      <c r="P56" s="517"/>
      <c r="Q56" s="517"/>
      <c r="R56" s="517"/>
      <c r="S56" s="517"/>
      <c r="T56" s="517"/>
      <c r="U56" s="517"/>
      <c r="V56" s="517"/>
      <c r="W56" s="517"/>
      <c r="X56" s="517"/>
      <c r="Y56" s="517"/>
      <c r="Z56" s="517"/>
      <c r="AA56" s="517"/>
      <c r="AB56" s="517"/>
      <c r="AC56" s="517"/>
      <c r="AD56" s="517"/>
      <c r="AE56" s="517"/>
      <c r="AF56" s="517"/>
      <c r="AG56" s="517"/>
      <c r="AH56" s="517"/>
      <c r="AI56" s="517"/>
      <c r="AJ56" s="517"/>
    </row>
    <row r="57" spans="1:41" ht="13.5" customHeight="1">
      <c r="B57" s="514"/>
      <c r="C57" s="514"/>
      <c r="D57" s="514"/>
      <c r="F57" s="56"/>
      <c r="G57" s="48"/>
      <c r="H57" s="48"/>
      <c r="I57" s="48"/>
      <c r="J57" s="48"/>
      <c r="K57" s="48"/>
      <c r="L57" s="58"/>
      <c r="M57" s="48"/>
      <c r="N57" s="48"/>
      <c r="O57" s="48"/>
      <c r="P57" s="48"/>
      <c r="Q57" s="59"/>
      <c r="R57" s="48"/>
      <c r="S57" s="48"/>
      <c r="T57" s="56"/>
      <c r="U57" s="56"/>
      <c r="V57" s="56"/>
      <c r="W57" s="56"/>
      <c r="X57" s="56"/>
      <c r="Y57" s="56"/>
      <c r="Z57" s="56"/>
      <c r="AA57" s="56"/>
      <c r="AB57" s="56"/>
      <c r="AC57" s="56"/>
      <c r="AD57" s="56"/>
      <c r="AE57" s="56"/>
      <c r="AF57" s="56"/>
      <c r="AG57" s="56"/>
      <c r="AH57" s="56"/>
      <c r="AI57" s="56"/>
      <c r="AM57" s="21"/>
    </row>
    <row r="58" spans="1:41" ht="18.75">
      <c r="B58" s="514"/>
      <c r="C58" s="514"/>
      <c r="D58" s="514"/>
      <c r="F58" s="56" t="s">
        <v>244</v>
      </c>
      <c r="H58" s="61"/>
      <c r="I58" s="56"/>
      <c r="J58" s="56"/>
      <c r="K58" s="499" t="s">
        <v>254</v>
      </c>
      <c r="L58" s="499"/>
      <c r="M58" s="499"/>
      <c r="N58" s="499"/>
      <c r="O58" s="499"/>
      <c r="P58" s="499"/>
      <c r="Q58" s="499"/>
      <c r="R58" s="499"/>
      <c r="S58" s="499"/>
      <c r="T58" s="56"/>
      <c r="U58" s="493" t="s">
        <v>245</v>
      </c>
      <c r="V58" s="493"/>
      <c r="W58" s="493"/>
      <c r="X58" s="493"/>
      <c r="Y58" s="500" t="s">
        <v>255</v>
      </c>
      <c r="Z58" s="500"/>
      <c r="AA58" s="500"/>
      <c r="AB58" s="500"/>
      <c r="AC58" s="500"/>
      <c r="AD58" s="500"/>
      <c r="AE58" s="500"/>
      <c r="AF58" s="500"/>
      <c r="AG58" s="500"/>
      <c r="AH58" s="500"/>
      <c r="AI58" s="500"/>
      <c r="AJ58" s="500"/>
      <c r="AL58" s="21"/>
      <c r="AM58" s="21"/>
    </row>
    <row r="59" spans="1:41">
      <c r="AL59" s="21"/>
      <c r="AM59" s="21"/>
    </row>
    <row r="60" spans="1:41">
      <c r="AL60" s="21"/>
    </row>
  </sheetData>
  <mergeCells count="61">
    <mergeCell ref="K54:S54"/>
    <mergeCell ref="Y54:AJ54"/>
    <mergeCell ref="B53:D58"/>
    <mergeCell ref="K52:AJ52"/>
    <mergeCell ref="W53:X53"/>
    <mergeCell ref="K56:AJ56"/>
    <mergeCell ref="K58:S58"/>
    <mergeCell ref="U58:X58"/>
    <mergeCell ref="Y58:AJ58"/>
    <mergeCell ref="M16:Y16"/>
    <mergeCell ref="AC16:AI16"/>
    <mergeCell ref="B1:E1"/>
    <mergeCell ref="S1:U1"/>
    <mergeCell ref="B2:AJ2"/>
    <mergeCell ref="L3:AJ3"/>
    <mergeCell ref="M4:X4"/>
    <mergeCell ref="B5:N6"/>
    <mergeCell ref="AA1:AC1"/>
    <mergeCell ref="AE1:AF1"/>
    <mergeCell ref="AH1:AI1"/>
    <mergeCell ref="M20:Y20"/>
    <mergeCell ref="AC20:AI20"/>
    <mergeCell ref="G24:H24"/>
    <mergeCell ref="I24:J24"/>
    <mergeCell ref="K24:L24"/>
    <mergeCell ref="M24:N24"/>
    <mergeCell ref="Q24:R24"/>
    <mergeCell ref="V24:W24"/>
    <mergeCell ref="Y24:Z24"/>
    <mergeCell ref="G26:AI26"/>
    <mergeCell ref="G28:AI28"/>
    <mergeCell ref="H30:M30"/>
    <mergeCell ref="P30:S30"/>
    <mergeCell ref="U30:V30"/>
    <mergeCell ref="X30:AI30"/>
    <mergeCell ref="Y33:Z33"/>
    <mergeCell ref="G35:AI35"/>
    <mergeCell ref="G37:AI37"/>
    <mergeCell ref="H39:M39"/>
    <mergeCell ref="P39:S39"/>
    <mergeCell ref="U39:V39"/>
    <mergeCell ref="X39:AI39"/>
    <mergeCell ref="G33:H33"/>
    <mergeCell ref="I33:J33"/>
    <mergeCell ref="K33:L33"/>
    <mergeCell ref="M33:N33"/>
    <mergeCell ref="Q33:R33"/>
    <mergeCell ref="V33:W33"/>
    <mergeCell ref="F40:Q40"/>
    <mergeCell ref="F41:Q41"/>
    <mergeCell ref="F43:S43"/>
    <mergeCell ref="K48:AJ48"/>
    <mergeCell ref="K50:S50"/>
    <mergeCell ref="U50:X50"/>
    <mergeCell ref="Y50:AJ50"/>
    <mergeCell ref="K46:S46"/>
    <mergeCell ref="Y46:AJ46"/>
    <mergeCell ref="T43:AI43"/>
    <mergeCell ref="X40:AG40"/>
    <mergeCell ref="X41:AG41"/>
    <mergeCell ref="AA42:AG42"/>
  </mergeCells>
  <phoneticPr fontId="1"/>
  <conditionalFormatting sqref="B2:AJ2">
    <cfRule type="cellIs" dxfId="18" priority="12" operator="equal">
      <formula>""</formula>
    </cfRule>
    <cfRule type="expression" dxfId="17" priority="13">
      <formula>$B$2=""</formula>
    </cfRule>
  </conditionalFormatting>
  <conditionalFormatting sqref="M16:Y16 M20:Y20 B53">
    <cfRule type="cellIs" dxfId="16" priority="11" operator="equal">
      <formula>""</formula>
    </cfRule>
  </conditionalFormatting>
  <conditionalFormatting sqref="L3">
    <cfRule type="expression" dxfId="15" priority="10">
      <formula>$L$3=""</formula>
    </cfRule>
  </conditionalFormatting>
  <conditionalFormatting sqref="T43:AI43">
    <cfRule type="expression" dxfId="14" priority="5">
      <formula>T43&lt;&gt;""</formula>
    </cfRule>
  </conditionalFormatting>
  <conditionalFormatting sqref="K56:AJ56">
    <cfRule type="expression" dxfId="13" priority="3">
      <formula>$K$47=""</formula>
    </cfRule>
  </conditionalFormatting>
  <conditionalFormatting sqref="K58:S58">
    <cfRule type="expression" dxfId="12" priority="2">
      <formula>$K$49=""</formula>
    </cfRule>
  </conditionalFormatting>
  <conditionalFormatting sqref="Y58:AJ58">
    <cfRule type="expression" dxfId="11" priority="1">
      <formula>$Y$49=""</formula>
    </cfRule>
  </conditionalFormatting>
  <dataValidations count="3">
    <dataValidation type="list" allowBlank="1" showInputMessage="1" showErrorMessage="1" sqref="W53" xr:uid="{00000000-0002-0000-0100-000000000000}">
      <formula1>" レ"</formula1>
    </dataValidation>
    <dataValidation imeMode="halfAlpha" allowBlank="1" showInputMessage="1" showErrorMessage="1" sqref="Y50:AJ50 Y46:AJ46 Y54:AJ54 Y58:AJ58" xr:uid="{00000000-0002-0000-0100-000001000000}"/>
    <dataValidation type="list" allowBlank="1" showInputMessage="1" showErrorMessage="1" sqref="B2" xr:uid="{00000000-0002-0000-0100-000002000000}">
      <formula1>$AN$6:$AN$15</formula1>
    </dataValidation>
  </dataValidations>
  <hyperlinks>
    <hyperlink ref="AO18" r:id="rId1" xr:uid="{00000000-0004-0000-0100-000000000000}"/>
    <hyperlink ref="AO19" r:id="rId2" xr:uid="{00000000-0004-0000-0100-000001000000}"/>
    <hyperlink ref="AO21" r:id="rId3" xr:uid="{00000000-0004-0000-0100-000002000000}"/>
    <hyperlink ref="AO22" r:id="rId4" xr:uid="{00000000-0004-0000-0100-000003000000}"/>
    <hyperlink ref="AO17" r:id="rId5" xr:uid="{00000000-0004-0000-0100-000004000000}"/>
  </hyperlinks>
  <printOptions horizontalCentered="1"/>
  <pageMargins left="0.23622047244094491" right="0.23622047244094491" top="0.74803149606299213" bottom="0.74803149606299213" header="0.31496062992125984" footer="0.31496062992125984"/>
  <pageSetup paperSize="9" scale="73" fitToWidth="0" orientation="portrait" verticalDpi="0" r:id="rId6"/>
  <colBreaks count="1" manualBreakCount="1">
    <brk id="37"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3777" r:id="rId9" name="Button 705">
              <controlPr defaultSize="0" print="0" autoFill="0" autoPict="0" macro="[0]!ボタン705_Click">
                <anchor moveWithCells="1" sizeWithCells="1">
                  <from>
                    <xdr:col>1</xdr:col>
                    <xdr:colOff>9525</xdr:colOff>
                    <xdr:row>2</xdr:row>
                    <xdr:rowOff>180975</xdr:rowOff>
                  </from>
                  <to>
                    <xdr:col>6</xdr:col>
                    <xdr:colOff>28575</xdr:colOff>
                    <xdr:row>3</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7B12F387-290F-444D-8769-9C861EC9AA24}">
            <xm:f>'供花（家族）'!$K$49=""</xm:f>
            <x14:dxf>
              <fill>
                <patternFill>
                  <bgColor theme="4" tint="0.79998168889431442"/>
                </patternFill>
              </fill>
            </x14:dxf>
          </x14:cfRule>
          <xm:sqref>K54:S54</xm:sqref>
        </x14:conditionalFormatting>
        <x14:conditionalFormatting xmlns:xm="http://schemas.microsoft.com/office/excel/2006/main">
          <x14:cfRule type="expression" priority="8" id="{EE0E8B2E-535F-4059-AABB-3C7DE31CF05F}">
            <xm:f>'供花（家族）'!$Y$49=""</xm:f>
            <x14:dxf>
              <fill>
                <patternFill>
                  <bgColor theme="4" tint="0.79998168889431442"/>
                </patternFill>
              </fill>
            </x14:dxf>
          </x14:cfRule>
          <xm:sqref>Y54:AJ54</xm:sqref>
        </x14:conditionalFormatting>
        <x14:conditionalFormatting xmlns:xm="http://schemas.microsoft.com/office/excel/2006/main">
          <x14:cfRule type="expression" priority="7" id="{71FB54C1-CD9E-4661-BA52-073F8381A8E9}">
            <xm:f>'供花（家族）'!$K$49=""</xm:f>
            <x14:dxf>
              <fill>
                <patternFill>
                  <bgColor theme="4" tint="0.79998168889431442"/>
                </patternFill>
              </fill>
            </x14:dxf>
          </x14:cfRule>
          <xm:sqref>K46:S46</xm:sqref>
        </x14:conditionalFormatting>
        <x14:conditionalFormatting xmlns:xm="http://schemas.microsoft.com/office/excel/2006/main">
          <x14:cfRule type="expression" priority="6" id="{833A4183-CD3E-429E-BF50-5EA5652B212B}">
            <xm:f>'供花（家族）'!$Y$49=""</xm:f>
            <x14:dxf>
              <fill>
                <patternFill>
                  <bgColor theme="4" tint="0.79998168889431442"/>
                </patternFill>
              </fill>
            </x14:dxf>
          </x14:cfRule>
          <xm:sqref>Y46:AJ46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theme="9"/>
  </sheetPr>
  <dimension ref="A1:AO65"/>
  <sheetViews>
    <sheetView showGridLines="0" zoomScaleNormal="100" workbookViewId="0">
      <selection activeCell="AJ17" sqref="AJ17"/>
    </sheetView>
  </sheetViews>
  <sheetFormatPr defaultRowHeight="13.5"/>
  <cols>
    <col min="1" max="9" width="4.625" style="202" customWidth="1"/>
    <col min="10" max="10" width="6.5" style="202" customWidth="1"/>
    <col min="11" max="13" width="4.625" style="202" customWidth="1"/>
    <col min="14" max="21" width="4.5" style="202" customWidth="1"/>
    <col min="22" max="22" width="3.5" style="202" customWidth="1"/>
    <col min="23" max="31" width="5.375" style="202" customWidth="1"/>
    <col min="32" max="256" width="9" style="202"/>
    <col min="257" max="265" width="4.625" style="202" customWidth="1"/>
    <col min="266" max="266" width="6.5" style="202" customWidth="1"/>
    <col min="267" max="269" width="4.625" style="202" customWidth="1"/>
    <col min="270" max="277" width="4.5" style="202" customWidth="1"/>
    <col min="278" max="278" width="3.5" style="202" customWidth="1"/>
    <col min="279" max="282" width="5.125" style="202" customWidth="1"/>
    <col min="283" max="286" width="9" style="202"/>
    <col min="287" max="287" width="22.375" style="202" customWidth="1"/>
    <col min="288" max="512" width="9" style="202"/>
    <col min="513" max="521" width="4.625" style="202" customWidth="1"/>
    <col min="522" max="522" width="6.5" style="202" customWidth="1"/>
    <col min="523" max="525" width="4.625" style="202" customWidth="1"/>
    <col min="526" max="533" width="4.5" style="202" customWidth="1"/>
    <col min="534" max="534" width="3.5" style="202" customWidth="1"/>
    <col min="535" max="538" width="5.125" style="202" customWidth="1"/>
    <col min="539" max="542" width="9" style="202"/>
    <col min="543" max="543" width="22.375" style="202" customWidth="1"/>
    <col min="544" max="768" width="9" style="202"/>
    <col min="769" max="777" width="4.625" style="202" customWidth="1"/>
    <col min="778" max="778" width="6.5" style="202" customWidth="1"/>
    <col min="779" max="781" width="4.625" style="202" customWidth="1"/>
    <col min="782" max="789" width="4.5" style="202" customWidth="1"/>
    <col min="790" max="790" width="3.5" style="202" customWidth="1"/>
    <col min="791" max="794" width="5.125" style="202" customWidth="1"/>
    <col min="795" max="798" width="9" style="202"/>
    <col min="799" max="799" width="22.375" style="202" customWidth="1"/>
    <col min="800" max="1024" width="9" style="202"/>
    <col min="1025" max="1033" width="4.625" style="202" customWidth="1"/>
    <col min="1034" max="1034" width="6.5" style="202" customWidth="1"/>
    <col min="1035" max="1037" width="4.625" style="202" customWidth="1"/>
    <col min="1038" max="1045" width="4.5" style="202" customWidth="1"/>
    <col min="1046" max="1046" width="3.5" style="202" customWidth="1"/>
    <col min="1047" max="1050" width="5.125" style="202" customWidth="1"/>
    <col min="1051" max="1054" width="9" style="202"/>
    <col min="1055" max="1055" width="22.375" style="202" customWidth="1"/>
    <col min="1056" max="1280" width="9" style="202"/>
    <col min="1281" max="1289" width="4.625" style="202" customWidth="1"/>
    <col min="1290" max="1290" width="6.5" style="202" customWidth="1"/>
    <col min="1291" max="1293" width="4.625" style="202" customWidth="1"/>
    <col min="1294" max="1301" width="4.5" style="202" customWidth="1"/>
    <col min="1302" max="1302" width="3.5" style="202" customWidth="1"/>
    <col min="1303" max="1306" width="5.125" style="202" customWidth="1"/>
    <col min="1307" max="1310" width="9" style="202"/>
    <col min="1311" max="1311" width="22.375" style="202" customWidth="1"/>
    <col min="1312" max="1536" width="9" style="202"/>
    <col min="1537" max="1545" width="4.625" style="202" customWidth="1"/>
    <col min="1546" max="1546" width="6.5" style="202" customWidth="1"/>
    <col min="1547" max="1549" width="4.625" style="202" customWidth="1"/>
    <col min="1550" max="1557" width="4.5" style="202" customWidth="1"/>
    <col min="1558" max="1558" width="3.5" style="202" customWidth="1"/>
    <col min="1559" max="1562" width="5.125" style="202" customWidth="1"/>
    <col min="1563" max="1566" width="9" style="202"/>
    <col min="1567" max="1567" width="22.375" style="202" customWidth="1"/>
    <col min="1568" max="1792" width="9" style="202"/>
    <col min="1793" max="1801" width="4.625" style="202" customWidth="1"/>
    <col min="1802" max="1802" width="6.5" style="202" customWidth="1"/>
    <col min="1803" max="1805" width="4.625" style="202" customWidth="1"/>
    <col min="1806" max="1813" width="4.5" style="202" customWidth="1"/>
    <col min="1814" max="1814" width="3.5" style="202" customWidth="1"/>
    <col min="1815" max="1818" width="5.125" style="202" customWidth="1"/>
    <col min="1819" max="1822" width="9" style="202"/>
    <col min="1823" max="1823" width="22.375" style="202" customWidth="1"/>
    <col min="1824" max="2048" width="9" style="202"/>
    <col min="2049" max="2057" width="4.625" style="202" customWidth="1"/>
    <col min="2058" max="2058" width="6.5" style="202" customWidth="1"/>
    <col min="2059" max="2061" width="4.625" style="202" customWidth="1"/>
    <col min="2062" max="2069" width="4.5" style="202" customWidth="1"/>
    <col min="2070" max="2070" width="3.5" style="202" customWidth="1"/>
    <col min="2071" max="2074" width="5.125" style="202" customWidth="1"/>
    <col min="2075" max="2078" width="9" style="202"/>
    <col min="2079" max="2079" width="22.375" style="202" customWidth="1"/>
    <col min="2080" max="2304" width="9" style="202"/>
    <col min="2305" max="2313" width="4.625" style="202" customWidth="1"/>
    <col min="2314" max="2314" width="6.5" style="202" customWidth="1"/>
    <col min="2315" max="2317" width="4.625" style="202" customWidth="1"/>
    <col min="2318" max="2325" width="4.5" style="202" customWidth="1"/>
    <col min="2326" max="2326" width="3.5" style="202" customWidth="1"/>
    <col min="2327" max="2330" width="5.125" style="202" customWidth="1"/>
    <col min="2331" max="2334" width="9" style="202"/>
    <col min="2335" max="2335" width="22.375" style="202" customWidth="1"/>
    <col min="2336" max="2560" width="9" style="202"/>
    <col min="2561" max="2569" width="4.625" style="202" customWidth="1"/>
    <col min="2570" max="2570" width="6.5" style="202" customWidth="1"/>
    <col min="2571" max="2573" width="4.625" style="202" customWidth="1"/>
    <col min="2574" max="2581" width="4.5" style="202" customWidth="1"/>
    <col min="2582" max="2582" width="3.5" style="202" customWidth="1"/>
    <col min="2583" max="2586" width="5.125" style="202" customWidth="1"/>
    <col min="2587" max="2590" width="9" style="202"/>
    <col min="2591" max="2591" width="22.375" style="202" customWidth="1"/>
    <col min="2592" max="2816" width="9" style="202"/>
    <col min="2817" max="2825" width="4.625" style="202" customWidth="1"/>
    <col min="2826" max="2826" width="6.5" style="202" customWidth="1"/>
    <col min="2827" max="2829" width="4.625" style="202" customWidth="1"/>
    <col min="2830" max="2837" width="4.5" style="202" customWidth="1"/>
    <col min="2838" max="2838" width="3.5" style="202" customWidth="1"/>
    <col min="2839" max="2842" width="5.125" style="202" customWidth="1"/>
    <col min="2843" max="2846" width="9" style="202"/>
    <col min="2847" max="2847" width="22.375" style="202" customWidth="1"/>
    <col min="2848" max="3072" width="9" style="202"/>
    <col min="3073" max="3081" width="4.625" style="202" customWidth="1"/>
    <col min="3082" max="3082" width="6.5" style="202" customWidth="1"/>
    <col min="3083" max="3085" width="4.625" style="202" customWidth="1"/>
    <col min="3086" max="3093" width="4.5" style="202" customWidth="1"/>
    <col min="3094" max="3094" width="3.5" style="202" customWidth="1"/>
    <col min="3095" max="3098" width="5.125" style="202" customWidth="1"/>
    <col min="3099" max="3102" width="9" style="202"/>
    <col min="3103" max="3103" width="22.375" style="202" customWidth="1"/>
    <col min="3104" max="3328" width="9" style="202"/>
    <col min="3329" max="3337" width="4.625" style="202" customWidth="1"/>
    <col min="3338" max="3338" width="6.5" style="202" customWidth="1"/>
    <col min="3339" max="3341" width="4.625" style="202" customWidth="1"/>
    <col min="3342" max="3349" width="4.5" style="202" customWidth="1"/>
    <col min="3350" max="3350" width="3.5" style="202" customWidth="1"/>
    <col min="3351" max="3354" width="5.125" style="202" customWidth="1"/>
    <col min="3355" max="3358" width="9" style="202"/>
    <col min="3359" max="3359" width="22.375" style="202" customWidth="1"/>
    <col min="3360" max="3584" width="9" style="202"/>
    <col min="3585" max="3593" width="4.625" style="202" customWidth="1"/>
    <col min="3594" max="3594" width="6.5" style="202" customWidth="1"/>
    <col min="3595" max="3597" width="4.625" style="202" customWidth="1"/>
    <col min="3598" max="3605" width="4.5" style="202" customWidth="1"/>
    <col min="3606" max="3606" width="3.5" style="202" customWidth="1"/>
    <col min="3607" max="3610" width="5.125" style="202" customWidth="1"/>
    <col min="3611" max="3614" width="9" style="202"/>
    <col min="3615" max="3615" width="22.375" style="202" customWidth="1"/>
    <col min="3616" max="3840" width="9" style="202"/>
    <col min="3841" max="3849" width="4.625" style="202" customWidth="1"/>
    <col min="3850" max="3850" width="6.5" style="202" customWidth="1"/>
    <col min="3851" max="3853" width="4.625" style="202" customWidth="1"/>
    <col min="3854" max="3861" width="4.5" style="202" customWidth="1"/>
    <col min="3862" max="3862" width="3.5" style="202" customWidth="1"/>
    <col min="3863" max="3866" width="5.125" style="202" customWidth="1"/>
    <col min="3867" max="3870" width="9" style="202"/>
    <col min="3871" max="3871" width="22.375" style="202" customWidth="1"/>
    <col min="3872" max="4096" width="9" style="202"/>
    <col min="4097" max="4105" width="4.625" style="202" customWidth="1"/>
    <col min="4106" max="4106" width="6.5" style="202" customWidth="1"/>
    <col min="4107" max="4109" width="4.625" style="202" customWidth="1"/>
    <col min="4110" max="4117" width="4.5" style="202" customWidth="1"/>
    <col min="4118" max="4118" width="3.5" style="202" customWidth="1"/>
    <col min="4119" max="4122" width="5.125" style="202" customWidth="1"/>
    <col min="4123" max="4126" width="9" style="202"/>
    <col min="4127" max="4127" width="22.375" style="202" customWidth="1"/>
    <col min="4128" max="4352" width="9" style="202"/>
    <col min="4353" max="4361" width="4.625" style="202" customWidth="1"/>
    <col min="4362" max="4362" width="6.5" style="202" customWidth="1"/>
    <col min="4363" max="4365" width="4.625" style="202" customWidth="1"/>
    <col min="4366" max="4373" width="4.5" style="202" customWidth="1"/>
    <col min="4374" max="4374" width="3.5" style="202" customWidth="1"/>
    <col min="4375" max="4378" width="5.125" style="202" customWidth="1"/>
    <col min="4379" max="4382" width="9" style="202"/>
    <col min="4383" max="4383" width="22.375" style="202" customWidth="1"/>
    <col min="4384" max="4608" width="9" style="202"/>
    <col min="4609" max="4617" width="4.625" style="202" customWidth="1"/>
    <col min="4618" max="4618" width="6.5" style="202" customWidth="1"/>
    <col min="4619" max="4621" width="4.625" style="202" customWidth="1"/>
    <col min="4622" max="4629" width="4.5" style="202" customWidth="1"/>
    <col min="4630" max="4630" width="3.5" style="202" customWidth="1"/>
    <col min="4631" max="4634" width="5.125" style="202" customWidth="1"/>
    <col min="4635" max="4638" width="9" style="202"/>
    <col min="4639" max="4639" width="22.375" style="202" customWidth="1"/>
    <col min="4640" max="4864" width="9" style="202"/>
    <col min="4865" max="4873" width="4.625" style="202" customWidth="1"/>
    <col min="4874" max="4874" width="6.5" style="202" customWidth="1"/>
    <col min="4875" max="4877" width="4.625" style="202" customWidth="1"/>
    <col min="4878" max="4885" width="4.5" style="202" customWidth="1"/>
    <col min="4886" max="4886" width="3.5" style="202" customWidth="1"/>
    <col min="4887" max="4890" width="5.125" style="202" customWidth="1"/>
    <col min="4891" max="4894" width="9" style="202"/>
    <col min="4895" max="4895" width="22.375" style="202" customWidth="1"/>
    <col min="4896" max="5120" width="9" style="202"/>
    <col min="5121" max="5129" width="4.625" style="202" customWidth="1"/>
    <col min="5130" max="5130" width="6.5" style="202" customWidth="1"/>
    <col min="5131" max="5133" width="4.625" style="202" customWidth="1"/>
    <col min="5134" max="5141" width="4.5" style="202" customWidth="1"/>
    <col min="5142" max="5142" width="3.5" style="202" customWidth="1"/>
    <col min="5143" max="5146" width="5.125" style="202" customWidth="1"/>
    <col min="5147" max="5150" width="9" style="202"/>
    <col min="5151" max="5151" width="22.375" style="202" customWidth="1"/>
    <col min="5152" max="5376" width="9" style="202"/>
    <col min="5377" max="5385" width="4.625" style="202" customWidth="1"/>
    <col min="5386" max="5386" width="6.5" style="202" customWidth="1"/>
    <col min="5387" max="5389" width="4.625" style="202" customWidth="1"/>
    <col min="5390" max="5397" width="4.5" style="202" customWidth="1"/>
    <col min="5398" max="5398" width="3.5" style="202" customWidth="1"/>
    <col min="5399" max="5402" width="5.125" style="202" customWidth="1"/>
    <col min="5403" max="5406" width="9" style="202"/>
    <col min="5407" max="5407" width="22.375" style="202" customWidth="1"/>
    <col min="5408" max="5632" width="9" style="202"/>
    <col min="5633" max="5641" width="4.625" style="202" customWidth="1"/>
    <col min="5642" max="5642" width="6.5" style="202" customWidth="1"/>
    <col min="5643" max="5645" width="4.625" style="202" customWidth="1"/>
    <col min="5646" max="5653" width="4.5" style="202" customWidth="1"/>
    <col min="5654" max="5654" width="3.5" style="202" customWidth="1"/>
    <col min="5655" max="5658" width="5.125" style="202" customWidth="1"/>
    <col min="5659" max="5662" width="9" style="202"/>
    <col min="5663" max="5663" width="22.375" style="202" customWidth="1"/>
    <col min="5664" max="5888" width="9" style="202"/>
    <col min="5889" max="5897" width="4.625" style="202" customWidth="1"/>
    <col min="5898" max="5898" width="6.5" style="202" customWidth="1"/>
    <col min="5899" max="5901" width="4.625" style="202" customWidth="1"/>
    <col min="5902" max="5909" width="4.5" style="202" customWidth="1"/>
    <col min="5910" max="5910" width="3.5" style="202" customWidth="1"/>
    <col min="5911" max="5914" width="5.125" style="202" customWidth="1"/>
    <col min="5915" max="5918" width="9" style="202"/>
    <col min="5919" max="5919" width="22.375" style="202" customWidth="1"/>
    <col min="5920" max="6144" width="9" style="202"/>
    <col min="6145" max="6153" width="4.625" style="202" customWidth="1"/>
    <col min="6154" max="6154" width="6.5" style="202" customWidth="1"/>
    <col min="6155" max="6157" width="4.625" style="202" customWidth="1"/>
    <col min="6158" max="6165" width="4.5" style="202" customWidth="1"/>
    <col min="6166" max="6166" width="3.5" style="202" customWidth="1"/>
    <col min="6167" max="6170" width="5.125" style="202" customWidth="1"/>
    <col min="6171" max="6174" width="9" style="202"/>
    <col min="6175" max="6175" width="22.375" style="202" customWidth="1"/>
    <col min="6176" max="6400" width="9" style="202"/>
    <col min="6401" max="6409" width="4.625" style="202" customWidth="1"/>
    <col min="6410" max="6410" width="6.5" style="202" customWidth="1"/>
    <col min="6411" max="6413" width="4.625" style="202" customWidth="1"/>
    <col min="6414" max="6421" width="4.5" style="202" customWidth="1"/>
    <col min="6422" max="6422" width="3.5" style="202" customWidth="1"/>
    <col min="6423" max="6426" width="5.125" style="202" customWidth="1"/>
    <col min="6427" max="6430" width="9" style="202"/>
    <col min="6431" max="6431" width="22.375" style="202" customWidth="1"/>
    <col min="6432" max="6656" width="9" style="202"/>
    <col min="6657" max="6665" width="4.625" style="202" customWidth="1"/>
    <col min="6666" max="6666" width="6.5" style="202" customWidth="1"/>
    <col min="6667" max="6669" width="4.625" style="202" customWidth="1"/>
    <col min="6670" max="6677" width="4.5" style="202" customWidth="1"/>
    <col min="6678" max="6678" width="3.5" style="202" customWidth="1"/>
    <col min="6679" max="6682" width="5.125" style="202" customWidth="1"/>
    <col min="6683" max="6686" width="9" style="202"/>
    <col min="6687" max="6687" width="22.375" style="202" customWidth="1"/>
    <col min="6688" max="6912" width="9" style="202"/>
    <col min="6913" max="6921" width="4.625" style="202" customWidth="1"/>
    <col min="6922" max="6922" width="6.5" style="202" customWidth="1"/>
    <col min="6923" max="6925" width="4.625" style="202" customWidth="1"/>
    <col min="6926" max="6933" width="4.5" style="202" customWidth="1"/>
    <col min="6934" max="6934" width="3.5" style="202" customWidth="1"/>
    <col min="6935" max="6938" width="5.125" style="202" customWidth="1"/>
    <col min="6939" max="6942" width="9" style="202"/>
    <col min="6943" max="6943" width="22.375" style="202" customWidth="1"/>
    <col min="6944" max="7168" width="9" style="202"/>
    <col min="7169" max="7177" width="4.625" style="202" customWidth="1"/>
    <col min="7178" max="7178" width="6.5" style="202" customWidth="1"/>
    <col min="7179" max="7181" width="4.625" style="202" customWidth="1"/>
    <col min="7182" max="7189" width="4.5" style="202" customWidth="1"/>
    <col min="7190" max="7190" width="3.5" style="202" customWidth="1"/>
    <col min="7191" max="7194" width="5.125" style="202" customWidth="1"/>
    <col min="7195" max="7198" width="9" style="202"/>
    <col min="7199" max="7199" width="22.375" style="202" customWidth="1"/>
    <col min="7200" max="7424" width="9" style="202"/>
    <col min="7425" max="7433" width="4.625" style="202" customWidth="1"/>
    <col min="7434" max="7434" width="6.5" style="202" customWidth="1"/>
    <col min="7435" max="7437" width="4.625" style="202" customWidth="1"/>
    <col min="7438" max="7445" width="4.5" style="202" customWidth="1"/>
    <col min="7446" max="7446" width="3.5" style="202" customWidth="1"/>
    <col min="7447" max="7450" width="5.125" style="202" customWidth="1"/>
    <col min="7451" max="7454" width="9" style="202"/>
    <col min="7455" max="7455" width="22.375" style="202" customWidth="1"/>
    <col min="7456" max="7680" width="9" style="202"/>
    <col min="7681" max="7689" width="4.625" style="202" customWidth="1"/>
    <col min="7690" max="7690" width="6.5" style="202" customWidth="1"/>
    <col min="7691" max="7693" width="4.625" style="202" customWidth="1"/>
    <col min="7694" max="7701" width="4.5" style="202" customWidth="1"/>
    <col min="7702" max="7702" width="3.5" style="202" customWidth="1"/>
    <col min="7703" max="7706" width="5.125" style="202" customWidth="1"/>
    <col min="7707" max="7710" width="9" style="202"/>
    <col min="7711" max="7711" width="22.375" style="202" customWidth="1"/>
    <col min="7712" max="7936" width="9" style="202"/>
    <col min="7937" max="7945" width="4.625" style="202" customWidth="1"/>
    <col min="7946" max="7946" width="6.5" style="202" customWidth="1"/>
    <col min="7947" max="7949" width="4.625" style="202" customWidth="1"/>
    <col min="7950" max="7957" width="4.5" style="202" customWidth="1"/>
    <col min="7958" max="7958" width="3.5" style="202" customWidth="1"/>
    <col min="7959" max="7962" width="5.125" style="202" customWidth="1"/>
    <col min="7963" max="7966" width="9" style="202"/>
    <col min="7967" max="7967" width="22.375" style="202" customWidth="1"/>
    <col min="7968" max="8192" width="9" style="202"/>
    <col min="8193" max="8201" width="4.625" style="202" customWidth="1"/>
    <col min="8202" max="8202" width="6.5" style="202" customWidth="1"/>
    <col min="8203" max="8205" width="4.625" style="202" customWidth="1"/>
    <col min="8206" max="8213" width="4.5" style="202" customWidth="1"/>
    <col min="8214" max="8214" width="3.5" style="202" customWidth="1"/>
    <col min="8215" max="8218" width="5.125" style="202" customWidth="1"/>
    <col min="8219" max="8222" width="9" style="202"/>
    <col min="8223" max="8223" width="22.375" style="202" customWidth="1"/>
    <col min="8224" max="8448" width="9" style="202"/>
    <col min="8449" max="8457" width="4.625" style="202" customWidth="1"/>
    <col min="8458" max="8458" width="6.5" style="202" customWidth="1"/>
    <col min="8459" max="8461" width="4.625" style="202" customWidth="1"/>
    <col min="8462" max="8469" width="4.5" style="202" customWidth="1"/>
    <col min="8470" max="8470" width="3.5" style="202" customWidth="1"/>
    <col min="8471" max="8474" width="5.125" style="202" customWidth="1"/>
    <col min="8475" max="8478" width="9" style="202"/>
    <col min="8479" max="8479" width="22.375" style="202" customWidth="1"/>
    <col min="8480" max="8704" width="9" style="202"/>
    <col min="8705" max="8713" width="4.625" style="202" customWidth="1"/>
    <col min="8714" max="8714" width="6.5" style="202" customWidth="1"/>
    <col min="8715" max="8717" width="4.625" style="202" customWidth="1"/>
    <col min="8718" max="8725" width="4.5" style="202" customWidth="1"/>
    <col min="8726" max="8726" width="3.5" style="202" customWidth="1"/>
    <col min="8727" max="8730" width="5.125" style="202" customWidth="1"/>
    <col min="8731" max="8734" width="9" style="202"/>
    <col min="8735" max="8735" width="22.375" style="202" customWidth="1"/>
    <col min="8736" max="8960" width="9" style="202"/>
    <col min="8961" max="8969" width="4.625" style="202" customWidth="1"/>
    <col min="8970" max="8970" width="6.5" style="202" customWidth="1"/>
    <col min="8971" max="8973" width="4.625" style="202" customWidth="1"/>
    <col min="8974" max="8981" width="4.5" style="202" customWidth="1"/>
    <col min="8982" max="8982" width="3.5" style="202" customWidth="1"/>
    <col min="8983" max="8986" width="5.125" style="202" customWidth="1"/>
    <col min="8987" max="8990" width="9" style="202"/>
    <col min="8991" max="8991" width="22.375" style="202" customWidth="1"/>
    <col min="8992" max="9216" width="9" style="202"/>
    <col min="9217" max="9225" width="4.625" style="202" customWidth="1"/>
    <col min="9226" max="9226" width="6.5" style="202" customWidth="1"/>
    <col min="9227" max="9229" width="4.625" style="202" customWidth="1"/>
    <col min="9230" max="9237" width="4.5" style="202" customWidth="1"/>
    <col min="9238" max="9238" width="3.5" style="202" customWidth="1"/>
    <col min="9239" max="9242" width="5.125" style="202" customWidth="1"/>
    <col min="9243" max="9246" width="9" style="202"/>
    <col min="9247" max="9247" width="22.375" style="202" customWidth="1"/>
    <col min="9248" max="9472" width="9" style="202"/>
    <col min="9473" max="9481" width="4.625" style="202" customWidth="1"/>
    <col min="9482" max="9482" width="6.5" style="202" customWidth="1"/>
    <col min="9483" max="9485" width="4.625" style="202" customWidth="1"/>
    <col min="9486" max="9493" width="4.5" style="202" customWidth="1"/>
    <col min="9494" max="9494" width="3.5" style="202" customWidth="1"/>
    <col min="9495" max="9498" width="5.125" style="202" customWidth="1"/>
    <col min="9499" max="9502" width="9" style="202"/>
    <col min="9503" max="9503" width="22.375" style="202" customWidth="1"/>
    <col min="9504" max="9728" width="9" style="202"/>
    <col min="9729" max="9737" width="4.625" style="202" customWidth="1"/>
    <col min="9738" max="9738" width="6.5" style="202" customWidth="1"/>
    <col min="9739" max="9741" width="4.625" style="202" customWidth="1"/>
    <col min="9742" max="9749" width="4.5" style="202" customWidth="1"/>
    <col min="9750" max="9750" width="3.5" style="202" customWidth="1"/>
    <col min="9751" max="9754" width="5.125" style="202" customWidth="1"/>
    <col min="9755" max="9758" width="9" style="202"/>
    <col min="9759" max="9759" width="22.375" style="202" customWidth="1"/>
    <col min="9760" max="9984" width="9" style="202"/>
    <col min="9985" max="9993" width="4.625" style="202" customWidth="1"/>
    <col min="9994" max="9994" width="6.5" style="202" customWidth="1"/>
    <col min="9995" max="9997" width="4.625" style="202" customWidth="1"/>
    <col min="9998" max="10005" width="4.5" style="202" customWidth="1"/>
    <col min="10006" max="10006" width="3.5" style="202" customWidth="1"/>
    <col min="10007" max="10010" width="5.125" style="202" customWidth="1"/>
    <col min="10011" max="10014" width="9" style="202"/>
    <col min="10015" max="10015" width="22.375" style="202" customWidth="1"/>
    <col min="10016" max="10240" width="9" style="202"/>
    <col min="10241" max="10249" width="4.625" style="202" customWidth="1"/>
    <col min="10250" max="10250" width="6.5" style="202" customWidth="1"/>
    <col min="10251" max="10253" width="4.625" style="202" customWidth="1"/>
    <col min="10254" max="10261" width="4.5" style="202" customWidth="1"/>
    <col min="10262" max="10262" width="3.5" style="202" customWidth="1"/>
    <col min="10263" max="10266" width="5.125" style="202" customWidth="1"/>
    <col min="10267" max="10270" width="9" style="202"/>
    <col min="10271" max="10271" width="22.375" style="202" customWidth="1"/>
    <col min="10272" max="10496" width="9" style="202"/>
    <col min="10497" max="10505" width="4.625" style="202" customWidth="1"/>
    <col min="10506" max="10506" width="6.5" style="202" customWidth="1"/>
    <col min="10507" max="10509" width="4.625" style="202" customWidth="1"/>
    <col min="10510" max="10517" width="4.5" style="202" customWidth="1"/>
    <col min="10518" max="10518" width="3.5" style="202" customWidth="1"/>
    <col min="10519" max="10522" width="5.125" style="202" customWidth="1"/>
    <col min="10523" max="10526" width="9" style="202"/>
    <col min="10527" max="10527" width="22.375" style="202" customWidth="1"/>
    <col min="10528" max="10752" width="9" style="202"/>
    <col min="10753" max="10761" width="4.625" style="202" customWidth="1"/>
    <col min="10762" max="10762" width="6.5" style="202" customWidth="1"/>
    <col min="10763" max="10765" width="4.625" style="202" customWidth="1"/>
    <col min="10766" max="10773" width="4.5" style="202" customWidth="1"/>
    <col min="10774" max="10774" width="3.5" style="202" customWidth="1"/>
    <col min="10775" max="10778" width="5.125" style="202" customWidth="1"/>
    <col min="10779" max="10782" width="9" style="202"/>
    <col min="10783" max="10783" width="22.375" style="202" customWidth="1"/>
    <col min="10784" max="11008" width="9" style="202"/>
    <col min="11009" max="11017" width="4.625" style="202" customWidth="1"/>
    <col min="11018" max="11018" width="6.5" style="202" customWidth="1"/>
    <col min="11019" max="11021" width="4.625" style="202" customWidth="1"/>
    <col min="11022" max="11029" width="4.5" style="202" customWidth="1"/>
    <col min="11030" max="11030" width="3.5" style="202" customWidth="1"/>
    <col min="11031" max="11034" width="5.125" style="202" customWidth="1"/>
    <col min="11035" max="11038" width="9" style="202"/>
    <col min="11039" max="11039" width="22.375" style="202" customWidth="1"/>
    <col min="11040" max="11264" width="9" style="202"/>
    <col min="11265" max="11273" width="4.625" style="202" customWidth="1"/>
    <col min="11274" max="11274" width="6.5" style="202" customWidth="1"/>
    <col min="11275" max="11277" width="4.625" style="202" customWidth="1"/>
    <col min="11278" max="11285" width="4.5" style="202" customWidth="1"/>
    <col min="11286" max="11286" width="3.5" style="202" customWidth="1"/>
    <col min="11287" max="11290" width="5.125" style="202" customWidth="1"/>
    <col min="11291" max="11294" width="9" style="202"/>
    <col min="11295" max="11295" width="22.375" style="202" customWidth="1"/>
    <col min="11296" max="11520" width="9" style="202"/>
    <col min="11521" max="11529" width="4.625" style="202" customWidth="1"/>
    <col min="11530" max="11530" width="6.5" style="202" customWidth="1"/>
    <col min="11531" max="11533" width="4.625" style="202" customWidth="1"/>
    <col min="11534" max="11541" width="4.5" style="202" customWidth="1"/>
    <col min="11542" max="11542" width="3.5" style="202" customWidth="1"/>
    <col min="11543" max="11546" width="5.125" style="202" customWidth="1"/>
    <col min="11547" max="11550" width="9" style="202"/>
    <col min="11551" max="11551" width="22.375" style="202" customWidth="1"/>
    <col min="11552" max="11776" width="9" style="202"/>
    <col min="11777" max="11785" width="4.625" style="202" customWidth="1"/>
    <col min="11786" max="11786" width="6.5" style="202" customWidth="1"/>
    <col min="11787" max="11789" width="4.625" style="202" customWidth="1"/>
    <col min="11790" max="11797" width="4.5" style="202" customWidth="1"/>
    <col min="11798" max="11798" width="3.5" style="202" customWidth="1"/>
    <col min="11799" max="11802" width="5.125" style="202" customWidth="1"/>
    <col min="11803" max="11806" width="9" style="202"/>
    <col min="11807" max="11807" width="22.375" style="202" customWidth="1"/>
    <col min="11808" max="12032" width="9" style="202"/>
    <col min="12033" max="12041" width="4.625" style="202" customWidth="1"/>
    <col min="12042" max="12042" width="6.5" style="202" customWidth="1"/>
    <col min="12043" max="12045" width="4.625" style="202" customWidth="1"/>
    <col min="12046" max="12053" width="4.5" style="202" customWidth="1"/>
    <col min="12054" max="12054" width="3.5" style="202" customWidth="1"/>
    <col min="12055" max="12058" width="5.125" style="202" customWidth="1"/>
    <col min="12059" max="12062" width="9" style="202"/>
    <col min="12063" max="12063" width="22.375" style="202" customWidth="1"/>
    <col min="12064" max="12288" width="9" style="202"/>
    <col min="12289" max="12297" width="4.625" style="202" customWidth="1"/>
    <col min="12298" max="12298" width="6.5" style="202" customWidth="1"/>
    <col min="12299" max="12301" width="4.625" style="202" customWidth="1"/>
    <col min="12302" max="12309" width="4.5" style="202" customWidth="1"/>
    <col min="12310" max="12310" width="3.5" style="202" customWidth="1"/>
    <col min="12311" max="12314" width="5.125" style="202" customWidth="1"/>
    <col min="12315" max="12318" width="9" style="202"/>
    <col min="12319" max="12319" width="22.375" style="202" customWidth="1"/>
    <col min="12320" max="12544" width="9" style="202"/>
    <col min="12545" max="12553" width="4.625" style="202" customWidth="1"/>
    <col min="12554" max="12554" width="6.5" style="202" customWidth="1"/>
    <col min="12555" max="12557" width="4.625" style="202" customWidth="1"/>
    <col min="12558" max="12565" width="4.5" style="202" customWidth="1"/>
    <col min="12566" max="12566" width="3.5" style="202" customWidth="1"/>
    <col min="12567" max="12570" width="5.125" style="202" customWidth="1"/>
    <col min="12571" max="12574" width="9" style="202"/>
    <col min="12575" max="12575" width="22.375" style="202" customWidth="1"/>
    <col min="12576" max="12800" width="9" style="202"/>
    <col min="12801" max="12809" width="4.625" style="202" customWidth="1"/>
    <col min="12810" max="12810" width="6.5" style="202" customWidth="1"/>
    <col min="12811" max="12813" width="4.625" style="202" customWidth="1"/>
    <col min="12814" max="12821" width="4.5" style="202" customWidth="1"/>
    <col min="12822" max="12822" width="3.5" style="202" customWidth="1"/>
    <col min="12823" max="12826" width="5.125" style="202" customWidth="1"/>
    <col min="12827" max="12830" width="9" style="202"/>
    <col min="12831" max="12831" width="22.375" style="202" customWidth="1"/>
    <col min="12832" max="13056" width="9" style="202"/>
    <col min="13057" max="13065" width="4.625" style="202" customWidth="1"/>
    <col min="13066" max="13066" width="6.5" style="202" customWidth="1"/>
    <col min="13067" max="13069" width="4.625" style="202" customWidth="1"/>
    <col min="13070" max="13077" width="4.5" style="202" customWidth="1"/>
    <col min="13078" max="13078" width="3.5" style="202" customWidth="1"/>
    <col min="13079" max="13082" width="5.125" style="202" customWidth="1"/>
    <col min="13083" max="13086" width="9" style="202"/>
    <col min="13087" max="13087" width="22.375" style="202" customWidth="1"/>
    <col min="13088" max="13312" width="9" style="202"/>
    <col min="13313" max="13321" width="4.625" style="202" customWidth="1"/>
    <col min="13322" max="13322" width="6.5" style="202" customWidth="1"/>
    <col min="13323" max="13325" width="4.625" style="202" customWidth="1"/>
    <col min="13326" max="13333" width="4.5" style="202" customWidth="1"/>
    <col min="13334" max="13334" width="3.5" style="202" customWidth="1"/>
    <col min="13335" max="13338" width="5.125" style="202" customWidth="1"/>
    <col min="13339" max="13342" width="9" style="202"/>
    <col min="13343" max="13343" width="22.375" style="202" customWidth="1"/>
    <col min="13344" max="13568" width="9" style="202"/>
    <col min="13569" max="13577" width="4.625" style="202" customWidth="1"/>
    <col min="13578" max="13578" width="6.5" style="202" customWidth="1"/>
    <col min="13579" max="13581" width="4.625" style="202" customWidth="1"/>
    <col min="13582" max="13589" width="4.5" style="202" customWidth="1"/>
    <col min="13590" max="13590" width="3.5" style="202" customWidth="1"/>
    <col min="13591" max="13594" width="5.125" style="202" customWidth="1"/>
    <col min="13595" max="13598" width="9" style="202"/>
    <col min="13599" max="13599" width="22.375" style="202" customWidth="1"/>
    <col min="13600" max="13824" width="9" style="202"/>
    <col min="13825" max="13833" width="4.625" style="202" customWidth="1"/>
    <col min="13834" max="13834" width="6.5" style="202" customWidth="1"/>
    <col min="13835" max="13837" width="4.625" style="202" customWidth="1"/>
    <col min="13838" max="13845" width="4.5" style="202" customWidth="1"/>
    <col min="13846" max="13846" width="3.5" style="202" customWidth="1"/>
    <col min="13847" max="13850" width="5.125" style="202" customWidth="1"/>
    <col min="13851" max="13854" width="9" style="202"/>
    <col min="13855" max="13855" width="22.375" style="202" customWidth="1"/>
    <col min="13856" max="14080" width="9" style="202"/>
    <col min="14081" max="14089" width="4.625" style="202" customWidth="1"/>
    <col min="14090" max="14090" width="6.5" style="202" customWidth="1"/>
    <col min="14091" max="14093" width="4.625" style="202" customWidth="1"/>
    <col min="14094" max="14101" width="4.5" style="202" customWidth="1"/>
    <col min="14102" max="14102" width="3.5" style="202" customWidth="1"/>
    <col min="14103" max="14106" width="5.125" style="202" customWidth="1"/>
    <col min="14107" max="14110" width="9" style="202"/>
    <col min="14111" max="14111" width="22.375" style="202" customWidth="1"/>
    <col min="14112" max="14336" width="9" style="202"/>
    <col min="14337" max="14345" width="4.625" style="202" customWidth="1"/>
    <col min="14346" max="14346" width="6.5" style="202" customWidth="1"/>
    <col min="14347" max="14349" width="4.625" style="202" customWidth="1"/>
    <col min="14350" max="14357" width="4.5" style="202" customWidth="1"/>
    <col min="14358" max="14358" width="3.5" style="202" customWidth="1"/>
    <col min="14359" max="14362" width="5.125" style="202" customWidth="1"/>
    <col min="14363" max="14366" width="9" style="202"/>
    <col min="14367" max="14367" width="22.375" style="202" customWidth="1"/>
    <col min="14368" max="14592" width="9" style="202"/>
    <col min="14593" max="14601" width="4.625" style="202" customWidth="1"/>
    <col min="14602" max="14602" width="6.5" style="202" customWidth="1"/>
    <col min="14603" max="14605" width="4.625" style="202" customWidth="1"/>
    <col min="14606" max="14613" width="4.5" style="202" customWidth="1"/>
    <col min="14614" max="14614" width="3.5" style="202" customWidth="1"/>
    <col min="14615" max="14618" width="5.125" style="202" customWidth="1"/>
    <col min="14619" max="14622" width="9" style="202"/>
    <col min="14623" max="14623" width="22.375" style="202" customWidth="1"/>
    <col min="14624" max="14848" width="9" style="202"/>
    <col min="14849" max="14857" width="4.625" style="202" customWidth="1"/>
    <col min="14858" max="14858" width="6.5" style="202" customWidth="1"/>
    <col min="14859" max="14861" width="4.625" style="202" customWidth="1"/>
    <col min="14862" max="14869" width="4.5" style="202" customWidth="1"/>
    <col min="14870" max="14870" width="3.5" style="202" customWidth="1"/>
    <col min="14871" max="14874" width="5.125" style="202" customWidth="1"/>
    <col min="14875" max="14878" width="9" style="202"/>
    <col min="14879" max="14879" width="22.375" style="202" customWidth="1"/>
    <col min="14880" max="15104" width="9" style="202"/>
    <col min="15105" max="15113" width="4.625" style="202" customWidth="1"/>
    <col min="15114" max="15114" width="6.5" style="202" customWidth="1"/>
    <col min="15115" max="15117" width="4.625" style="202" customWidth="1"/>
    <col min="15118" max="15125" width="4.5" style="202" customWidth="1"/>
    <col min="15126" max="15126" width="3.5" style="202" customWidth="1"/>
    <col min="15127" max="15130" width="5.125" style="202" customWidth="1"/>
    <col min="15131" max="15134" width="9" style="202"/>
    <col min="15135" max="15135" width="22.375" style="202" customWidth="1"/>
    <col min="15136" max="15360" width="9" style="202"/>
    <col min="15361" max="15369" width="4.625" style="202" customWidth="1"/>
    <col min="15370" max="15370" width="6.5" style="202" customWidth="1"/>
    <col min="15371" max="15373" width="4.625" style="202" customWidth="1"/>
    <col min="15374" max="15381" width="4.5" style="202" customWidth="1"/>
    <col min="15382" max="15382" width="3.5" style="202" customWidth="1"/>
    <col min="15383" max="15386" width="5.125" style="202" customWidth="1"/>
    <col min="15387" max="15390" width="9" style="202"/>
    <col min="15391" max="15391" width="22.375" style="202" customWidth="1"/>
    <col min="15392" max="15616" width="9" style="202"/>
    <col min="15617" max="15625" width="4.625" style="202" customWidth="1"/>
    <col min="15626" max="15626" width="6.5" style="202" customWidth="1"/>
    <col min="15627" max="15629" width="4.625" style="202" customWidth="1"/>
    <col min="15630" max="15637" width="4.5" style="202" customWidth="1"/>
    <col min="15638" max="15638" width="3.5" style="202" customWidth="1"/>
    <col min="15639" max="15642" width="5.125" style="202" customWidth="1"/>
    <col min="15643" max="15646" width="9" style="202"/>
    <col min="15647" max="15647" width="22.375" style="202" customWidth="1"/>
    <col min="15648" max="15872" width="9" style="202"/>
    <col min="15873" max="15881" width="4.625" style="202" customWidth="1"/>
    <col min="15882" max="15882" width="6.5" style="202" customWidth="1"/>
    <col min="15883" max="15885" width="4.625" style="202" customWidth="1"/>
    <col min="15886" max="15893" width="4.5" style="202" customWidth="1"/>
    <col min="15894" max="15894" width="3.5" style="202" customWidth="1"/>
    <col min="15895" max="15898" width="5.125" style="202" customWidth="1"/>
    <col min="15899" max="15902" width="9" style="202"/>
    <col min="15903" max="15903" width="22.375" style="202" customWidth="1"/>
    <col min="15904" max="16128" width="9" style="202"/>
    <col min="16129" max="16137" width="4.625" style="202" customWidth="1"/>
    <col min="16138" max="16138" width="6.5" style="202" customWidth="1"/>
    <col min="16139" max="16141" width="4.625" style="202" customWidth="1"/>
    <col min="16142" max="16149" width="4.5" style="202" customWidth="1"/>
    <col min="16150" max="16150" width="3.5" style="202" customWidth="1"/>
    <col min="16151" max="16154" width="5.125" style="202" customWidth="1"/>
    <col min="16155" max="16158" width="9" style="202"/>
    <col min="16159" max="16159" width="22.375" style="202" customWidth="1"/>
    <col min="16160" max="16384" width="9" style="202"/>
  </cols>
  <sheetData>
    <row r="1" spans="1:41" ht="16.5" customHeight="1">
      <c r="A1" s="582"/>
      <c r="B1" s="582"/>
      <c r="C1" s="252"/>
      <c r="D1" s="581" t="s">
        <v>264</v>
      </c>
      <c r="E1" s="581"/>
      <c r="F1" s="581"/>
      <c r="G1" s="581"/>
      <c r="H1" s="581"/>
      <c r="I1" s="581"/>
      <c r="J1" s="581"/>
      <c r="K1" s="581"/>
      <c r="L1" s="581"/>
      <c r="M1" s="581"/>
      <c r="N1" s="581"/>
      <c r="O1" s="581"/>
      <c r="P1" s="581"/>
      <c r="Q1" s="581"/>
      <c r="R1" s="581"/>
      <c r="S1" s="252"/>
      <c r="T1" s="252"/>
      <c r="U1" s="252"/>
      <c r="AB1" s="203"/>
      <c r="AC1" s="203"/>
      <c r="AD1" s="203"/>
      <c r="AE1" s="204"/>
      <c r="AF1" s="204"/>
    </row>
    <row r="2" spans="1:41" ht="36" customHeight="1">
      <c r="A2" s="213"/>
      <c r="B2" s="213"/>
      <c r="C2" s="255" t="str">
        <f>弔事報告書!Y2&amp;"年"</f>
        <v>年</v>
      </c>
      <c r="D2" s="253" t="str">
        <f>弔事報告書!AB2&amp;"月"</f>
        <v>月</v>
      </c>
      <c r="E2" s="254" t="str">
        <f>弔事報告書!AD2&amp;"日"</f>
        <v>日</v>
      </c>
      <c r="F2" s="251"/>
      <c r="G2" s="589" t="s">
        <v>265</v>
      </c>
      <c r="H2" s="589"/>
      <c r="I2" s="589"/>
      <c r="J2" s="589"/>
      <c r="K2" s="589"/>
      <c r="L2" s="589"/>
      <c r="M2" s="589"/>
      <c r="N2" s="589"/>
      <c r="O2" s="589"/>
      <c r="P2" s="589"/>
      <c r="Q2" s="589"/>
      <c r="R2" s="589"/>
      <c r="S2" s="589"/>
      <c r="T2" s="589"/>
      <c r="U2" s="589"/>
      <c r="W2" s="205"/>
      <c r="X2" s="206" t="s">
        <v>8</v>
      </c>
      <c r="Y2" s="206"/>
      <c r="Z2" s="206"/>
      <c r="AA2" s="207"/>
      <c r="AB2" s="206" t="s">
        <v>9</v>
      </c>
      <c r="AE2" s="208"/>
      <c r="AF2" s="206" t="s">
        <v>10</v>
      </c>
      <c r="AG2" s="206"/>
    </row>
    <row r="3" spans="1:41">
      <c r="A3" s="209"/>
      <c r="B3" s="209"/>
      <c r="C3" s="209"/>
      <c r="D3" s="584" t="s">
        <v>266</v>
      </c>
      <c r="E3" s="584"/>
      <c r="F3" s="584"/>
      <c r="G3" s="584"/>
      <c r="H3" s="584"/>
      <c r="I3" s="584"/>
      <c r="J3" s="584"/>
      <c r="K3" s="584"/>
      <c r="L3" s="584"/>
      <c r="M3" s="584"/>
      <c r="N3" s="584"/>
      <c r="O3" s="584"/>
      <c r="P3" s="584"/>
      <c r="Q3" s="584"/>
      <c r="R3" s="584"/>
      <c r="S3" s="584"/>
      <c r="T3" s="584"/>
      <c r="U3" s="584"/>
      <c r="AB3" s="210"/>
    </row>
    <row r="4" spans="1:41" ht="27.75" customHeight="1" thickBot="1">
      <c r="A4" s="583" t="s">
        <v>267</v>
      </c>
      <c r="B4" s="583"/>
      <c r="C4" s="583"/>
      <c r="D4" s="583"/>
      <c r="E4" s="583"/>
      <c r="F4" s="583"/>
      <c r="G4" s="583"/>
      <c r="H4" s="583"/>
      <c r="I4" s="583"/>
      <c r="J4" s="583"/>
      <c r="K4" s="583"/>
      <c r="L4" s="583"/>
      <c r="M4" s="583"/>
      <c r="N4" s="583"/>
      <c r="O4" s="583"/>
      <c r="P4" s="583"/>
      <c r="Q4" s="583"/>
      <c r="R4" s="583"/>
      <c r="S4" s="583"/>
      <c r="T4" s="583"/>
      <c r="U4" s="583"/>
      <c r="V4" s="211"/>
      <c r="W4" s="212"/>
      <c r="X4" s="212"/>
      <c r="Y4" s="213"/>
      <c r="Z4" s="214"/>
      <c r="AA4" s="213"/>
      <c r="AB4" s="213"/>
      <c r="AC4" s="213"/>
      <c r="AD4" s="213"/>
      <c r="AE4" s="213"/>
    </row>
    <row r="5" spans="1:41" ht="21.75" customHeight="1" thickBot="1">
      <c r="A5" s="602" t="s">
        <v>268</v>
      </c>
      <c r="B5" s="603"/>
      <c r="C5" s="604" t="s">
        <v>269</v>
      </c>
      <c r="D5" s="604"/>
      <c r="E5" s="604"/>
      <c r="F5" s="604"/>
      <c r="G5" s="604"/>
      <c r="H5" s="604"/>
      <c r="I5" s="604"/>
      <c r="J5" s="604"/>
      <c r="K5" s="605"/>
      <c r="L5" s="215"/>
      <c r="M5" s="586"/>
      <c r="N5" s="587"/>
      <c r="O5" s="587"/>
      <c r="P5" s="587"/>
      <c r="Q5" s="587"/>
      <c r="R5" s="587"/>
      <c r="S5" s="587"/>
      <c r="T5" s="587"/>
      <c r="U5" s="588"/>
      <c r="V5" s="213"/>
      <c r="W5" s="216"/>
      <c r="X5" s="213"/>
      <c r="Y5" s="213"/>
      <c r="Z5" s="214"/>
      <c r="AA5" s="217"/>
      <c r="AB5" s="213"/>
      <c r="AC5" s="213"/>
      <c r="AD5" s="213"/>
      <c r="AE5" s="213"/>
    </row>
    <row r="6" spans="1:41" ht="18.75">
      <c r="A6" s="606" t="s">
        <v>270</v>
      </c>
      <c r="B6" s="607"/>
      <c r="C6" s="608" t="s">
        <v>271</v>
      </c>
      <c r="D6" s="609"/>
      <c r="E6" s="609"/>
      <c r="F6" s="609"/>
      <c r="G6" s="609"/>
      <c r="H6" s="609"/>
      <c r="I6" s="609"/>
      <c r="J6" s="609"/>
      <c r="K6" s="610" t="s">
        <v>272</v>
      </c>
      <c r="L6" s="611"/>
      <c r="M6" s="599">
        <f>弔事報告書!AC57</f>
        <v>0</v>
      </c>
      <c r="N6" s="600"/>
      <c r="O6" s="600"/>
      <c r="P6" s="600"/>
      <c r="Q6" s="600"/>
      <c r="R6" s="600"/>
      <c r="S6" s="600"/>
      <c r="T6" s="600"/>
      <c r="U6" s="601"/>
      <c r="V6" s="585" t="s">
        <v>273</v>
      </c>
      <c r="W6" s="585"/>
      <c r="X6" s="585"/>
      <c r="Y6" s="585"/>
      <c r="Z6" s="585"/>
      <c r="AA6" s="585"/>
      <c r="AB6" s="585"/>
      <c r="AC6" s="585"/>
      <c r="AD6" s="585"/>
      <c r="AE6" s="585"/>
      <c r="AF6" s="585"/>
      <c r="AG6" s="585"/>
      <c r="AH6" s="585"/>
      <c r="AI6" s="585"/>
    </row>
    <row r="7" spans="1:41" ht="18.75" customHeight="1" thickBot="1">
      <c r="A7" s="218" t="s">
        <v>274</v>
      </c>
      <c r="B7" s="219"/>
      <c r="C7" s="590">
        <f>弔事報告書!$AC$55</f>
        <v>0</v>
      </c>
      <c r="D7" s="591"/>
      <c r="E7" s="591"/>
      <c r="F7" s="591"/>
      <c r="G7" s="591"/>
      <c r="H7" s="591"/>
      <c r="I7" s="591"/>
      <c r="J7" s="592"/>
      <c r="K7" s="593" t="s">
        <v>275</v>
      </c>
      <c r="L7" s="594"/>
      <c r="M7" s="595"/>
      <c r="N7" s="596">
        <f>弔事報告書!AC61</f>
        <v>0</v>
      </c>
      <c r="O7" s="597"/>
      <c r="P7" s="597"/>
      <c r="Q7" s="597"/>
      <c r="R7" s="597"/>
      <c r="S7" s="597"/>
      <c r="T7" s="597"/>
      <c r="U7" s="598"/>
      <c r="V7" s="585"/>
      <c r="W7" s="585"/>
      <c r="X7" s="585"/>
      <c r="Y7" s="585"/>
      <c r="Z7" s="585"/>
      <c r="AA7" s="585"/>
      <c r="AB7" s="585"/>
      <c r="AC7" s="585"/>
      <c r="AD7" s="585"/>
      <c r="AE7" s="585"/>
      <c r="AF7" s="585"/>
      <c r="AG7" s="585"/>
      <c r="AH7" s="585"/>
      <c r="AI7" s="585"/>
    </row>
    <row r="8" spans="1:41" ht="14.25" thickBot="1">
      <c r="X8" s="221"/>
      <c r="Z8" s="220"/>
    </row>
    <row r="9" spans="1:41" ht="26.25" thickBot="1">
      <c r="A9" s="522" t="s">
        <v>276</v>
      </c>
      <c r="B9" s="523"/>
      <c r="C9" s="222" t="s">
        <v>277</v>
      </c>
      <c r="D9" s="223"/>
      <c r="E9" s="224"/>
      <c r="F9" s="225"/>
      <c r="G9" s="226" t="s">
        <v>278</v>
      </c>
      <c r="H9" s="226"/>
      <c r="I9" s="524"/>
      <c r="J9" s="525"/>
      <c r="K9" s="525"/>
      <c r="L9" s="525"/>
      <c r="M9" s="525"/>
      <c r="N9" s="526"/>
      <c r="O9" s="227" t="s">
        <v>279</v>
      </c>
      <c r="P9" s="227"/>
      <c r="Q9" s="225"/>
      <c r="S9" s="240"/>
      <c r="T9" s="241"/>
      <c r="U9" s="242"/>
      <c r="V9" s="211" t="s">
        <v>280</v>
      </c>
      <c r="Z9" s="220"/>
    </row>
    <row r="10" spans="1:41" ht="14.25" thickBot="1">
      <c r="X10" s="527"/>
      <c r="Y10" s="527"/>
      <c r="Z10" s="527"/>
      <c r="AA10" s="527"/>
      <c r="AB10" s="527"/>
      <c r="AC10" s="527"/>
      <c r="AD10" s="527"/>
      <c r="AE10" s="527"/>
      <c r="AF10" s="527"/>
      <c r="AG10" s="527"/>
      <c r="AH10" s="527"/>
      <c r="AI10" s="527"/>
      <c r="AJ10" s="527"/>
      <c r="AK10" s="527"/>
      <c r="AL10" s="527"/>
      <c r="AM10" s="527"/>
      <c r="AN10" s="527"/>
      <c r="AO10" s="527"/>
    </row>
    <row r="11" spans="1:41" ht="19.5" customHeight="1" thickBot="1">
      <c r="A11" s="528" t="s">
        <v>281</v>
      </c>
      <c r="B11" s="228" t="s">
        <v>282</v>
      </c>
      <c r="C11" s="229"/>
      <c r="D11" s="229"/>
      <c r="E11" s="229"/>
      <c r="F11" s="230" t="s">
        <v>283</v>
      </c>
      <c r="G11" s="531">
        <f>弔事報告書!Q20</f>
        <v>0</v>
      </c>
      <c r="H11" s="531"/>
      <c r="I11" s="531"/>
      <c r="J11" s="531"/>
      <c r="K11" s="231" t="s">
        <v>284</v>
      </c>
      <c r="L11" s="531">
        <f>弔事報告書!T20</f>
        <v>0</v>
      </c>
      <c r="M11" s="531"/>
      <c r="N11" s="531"/>
      <c r="O11" s="231" t="s">
        <v>285</v>
      </c>
      <c r="P11" s="531">
        <f>弔事報告書!W20</f>
        <v>0</v>
      </c>
      <c r="Q11" s="531"/>
      <c r="R11" s="531"/>
      <c r="S11" s="551"/>
      <c r="T11" s="232"/>
      <c r="X11" s="527"/>
      <c r="Y11" s="527"/>
      <c r="Z11" s="527"/>
      <c r="AA11" s="527"/>
      <c r="AB11" s="527"/>
      <c r="AC11" s="527"/>
      <c r="AD11" s="527"/>
      <c r="AE11" s="527"/>
      <c r="AF11" s="527"/>
      <c r="AG11" s="527"/>
      <c r="AH11" s="527"/>
      <c r="AI11" s="527"/>
      <c r="AJ11" s="527"/>
      <c r="AK11" s="527"/>
      <c r="AL11" s="527"/>
      <c r="AM11" s="527"/>
      <c r="AN11" s="527"/>
      <c r="AO11" s="527"/>
    </row>
    <row r="12" spans="1:41" ht="14.25" customHeight="1">
      <c r="A12" s="529"/>
      <c r="B12" s="528" t="s">
        <v>286</v>
      </c>
      <c r="C12" s="532">
        <f>弔事報告書!F22</f>
        <v>0</v>
      </c>
      <c r="D12" s="533"/>
      <c r="E12" s="533"/>
      <c r="F12" s="533"/>
      <c r="G12" s="533"/>
      <c r="H12" s="533"/>
      <c r="I12" s="533"/>
      <c r="J12" s="533"/>
      <c r="K12" s="533"/>
      <c r="L12" s="533"/>
      <c r="M12" s="533"/>
      <c r="N12" s="533"/>
      <c r="O12" s="533"/>
      <c r="P12" s="533"/>
      <c r="Q12" s="533"/>
      <c r="R12" s="533"/>
      <c r="S12" s="533"/>
      <c r="T12" s="533"/>
      <c r="U12" s="534"/>
      <c r="Z12" s="220"/>
    </row>
    <row r="13" spans="1:41" ht="15" customHeight="1" thickBot="1">
      <c r="A13" s="529"/>
      <c r="B13" s="530"/>
      <c r="C13" s="535"/>
      <c r="D13" s="536"/>
      <c r="E13" s="536"/>
      <c r="F13" s="536"/>
      <c r="G13" s="536"/>
      <c r="H13" s="536"/>
      <c r="I13" s="536"/>
      <c r="J13" s="536"/>
      <c r="K13" s="536"/>
      <c r="L13" s="536"/>
      <c r="M13" s="536"/>
      <c r="N13" s="536"/>
      <c r="O13" s="536"/>
      <c r="P13" s="536"/>
      <c r="Q13" s="536"/>
      <c r="R13" s="536"/>
      <c r="S13" s="536"/>
      <c r="T13" s="536"/>
      <c r="U13" s="537"/>
      <c r="X13" s="221"/>
      <c r="Z13" s="220"/>
    </row>
    <row r="14" spans="1:41" ht="19.5" thickBot="1">
      <c r="A14" s="529"/>
      <c r="B14" s="233" t="s">
        <v>287</v>
      </c>
      <c r="C14" s="538">
        <f>弔事報告書!F23</f>
        <v>0</v>
      </c>
      <c r="D14" s="539"/>
      <c r="E14" s="539"/>
      <c r="F14" s="539"/>
      <c r="G14" s="539"/>
      <c r="H14" s="539"/>
      <c r="I14" s="539"/>
      <c r="J14" s="539"/>
      <c r="K14" s="539"/>
      <c r="L14" s="539"/>
      <c r="M14" s="539"/>
      <c r="N14" s="539"/>
      <c r="O14" s="539"/>
      <c r="P14" s="539"/>
      <c r="Q14" s="539"/>
      <c r="R14" s="539"/>
      <c r="S14" s="539"/>
      <c r="T14" s="539"/>
      <c r="U14" s="540"/>
      <c r="V14" s="234" t="s">
        <v>288</v>
      </c>
      <c r="Z14" s="220"/>
    </row>
    <row r="15" spans="1:41">
      <c r="A15" s="529"/>
      <c r="B15" s="541" t="s">
        <v>289</v>
      </c>
      <c r="C15" s="547">
        <f>弔事報告書!F30</f>
        <v>0</v>
      </c>
      <c r="D15" s="548"/>
      <c r="E15" s="548"/>
      <c r="F15" s="548"/>
      <c r="G15" s="548"/>
      <c r="H15" s="548"/>
      <c r="I15" s="548"/>
      <c r="J15" s="548"/>
      <c r="K15" s="548"/>
      <c r="L15" s="548"/>
      <c r="M15" s="548"/>
      <c r="N15" s="548"/>
      <c r="O15" s="548"/>
      <c r="P15" s="548"/>
      <c r="Q15" s="548"/>
      <c r="R15" s="548"/>
      <c r="S15" s="548"/>
      <c r="T15" s="543" t="s">
        <v>290</v>
      </c>
      <c r="U15" s="544"/>
      <c r="Z15" s="220"/>
    </row>
    <row r="16" spans="1:41" ht="14.25" thickBot="1">
      <c r="A16" s="530"/>
      <c r="B16" s="542"/>
      <c r="C16" s="549"/>
      <c r="D16" s="550"/>
      <c r="E16" s="550"/>
      <c r="F16" s="550"/>
      <c r="G16" s="550"/>
      <c r="H16" s="550"/>
      <c r="I16" s="550"/>
      <c r="J16" s="550"/>
      <c r="K16" s="550"/>
      <c r="L16" s="550"/>
      <c r="M16" s="550"/>
      <c r="N16" s="550"/>
      <c r="O16" s="550"/>
      <c r="P16" s="550"/>
      <c r="Q16" s="550"/>
      <c r="R16" s="550"/>
      <c r="S16" s="550"/>
      <c r="T16" s="545"/>
      <c r="U16" s="546"/>
      <c r="Z16" s="220"/>
    </row>
    <row r="17" spans="1:26" ht="14.25" thickBot="1">
      <c r="Z17" s="220"/>
    </row>
    <row r="18" spans="1:26" ht="18" customHeight="1" thickBot="1">
      <c r="A18" s="552" t="s">
        <v>291</v>
      </c>
      <c r="B18" s="555" t="s">
        <v>292</v>
      </c>
      <c r="C18" s="555"/>
      <c r="D18" s="555"/>
      <c r="E18" s="555"/>
      <c r="F18" s="555"/>
      <c r="G18" s="555"/>
      <c r="H18" s="555"/>
      <c r="I18" s="235"/>
      <c r="J18" s="236" t="s">
        <v>293</v>
      </c>
      <c r="K18" s="555" t="s">
        <v>294</v>
      </c>
      <c r="L18" s="555"/>
      <c r="M18" s="555"/>
      <c r="N18" s="555"/>
      <c r="O18" s="555"/>
      <c r="P18" s="555"/>
      <c r="Q18" s="555"/>
      <c r="R18" s="555"/>
      <c r="S18" s="555"/>
      <c r="T18" s="555"/>
      <c r="U18" s="237" t="s">
        <v>295</v>
      </c>
      <c r="Z18" s="220"/>
    </row>
    <row r="19" spans="1:26" ht="12.95" customHeight="1">
      <c r="A19" s="553"/>
      <c r="B19" s="556" t="s">
        <v>296</v>
      </c>
      <c r="C19" s="559" t="s">
        <v>297</v>
      </c>
      <c r="D19" s="560"/>
      <c r="E19" s="560"/>
      <c r="F19" s="560"/>
      <c r="G19" s="560"/>
      <c r="H19" s="560"/>
      <c r="I19" s="560"/>
      <c r="J19" s="560"/>
      <c r="K19" s="560"/>
      <c r="L19" s="560"/>
      <c r="M19" s="560"/>
      <c r="N19" s="560"/>
      <c r="O19" s="560"/>
      <c r="P19" s="560"/>
      <c r="Q19" s="560"/>
      <c r="R19" s="560"/>
      <c r="S19" s="560"/>
      <c r="T19" s="560"/>
      <c r="U19" s="561"/>
      <c r="V19" s="211" t="s">
        <v>298</v>
      </c>
      <c r="Y19" s="220"/>
    </row>
    <row r="20" spans="1:26" ht="12.95" customHeight="1">
      <c r="A20" s="553"/>
      <c r="B20" s="557"/>
      <c r="C20" s="562"/>
      <c r="D20" s="563"/>
      <c r="E20" s="563"/>
      <c r="F20" s="563"/>
      <c r="G20" s="563"/>
      <c r="H20" s="563"/>
      <c r="I20" s="563"/>
      <c r="J20" s="563"/>
      <c r="K20" s="563"/>
      <c r="L20" s="563"/>
      <c r="M20" s="563"/>
      <c r="N20" s="563"/>
      <c r="O20" s="563"/>
      <c r="P20" s="563"/>
      <c r="Q20" s="563"/>
      <c r="R20" s="563"/>
      <c r="S20" s="563"/>
      <c r="T20" s="563"/>
      <c r="U20" s="564"/>
      <c r="W20" s="238" t="s">
        <v>299</v>
      </c>
      <c r="Y20" s="220"/>
    </row>
    <row r="21" spans="1:26" ht="12.95" customHeight="1">
      <c r="A21" s="553"/>
      <c r="B21" s="557"/>
      <c r="C21" s="562"/>
      <c r="D21" s="563"/>
      <c r="E21" s="563"/>
      <c r="F21" s="563"/>
      <c r="G21" s="563"/>
      <c r="H21" s="563"/>
      <c r="I21" s="563"/>
      <c r="J21" s="563"/>
      <c r="K21" s="563"/>
      <c r="L21" s="563"/>
      <c r="M21" s="563"/>
      <c r="N21" s="563"/>
      <c r="O21" s="563"/>
      <c r="P21" s="563"/>
      <c r="Q21" s="563"/>
      <c r="R21" s="563"/>
      <c r="S21" s="563"/>
      <c r="T21" s="563"/>
      <c r="U21" s="564"/>
      <c r="Y21" s="220"/>
    </row>
    <row r="22" spans="1:26" ht="12.95" customHeight="1">
      <c r="A22" s="553"/>
      <c r="B22" s="558"/>
      <c r="C22" s="565"/>
      <c r="D22" s="566"/>
      <c r="E22" s="566"/>
      <c r="F22" s="566"/>
      <c r="G22" s="566"/>
      <c r="H22" s="566"/>
      <c r="I22" s="566"/>
      <c r="J22" s="566"/>
      <c r="K22" s="566"/>
      <c r="L22" s="566"/>
      <c r="M22" s="566"/>
      <c r="N22" s="566"/>
      <c r="O22" s="566"/>
      <c r="P22" s="566"/>
      <c r="Q22" s="566"/>
      <c r="R22" s="566"/>
      <c r="S22" s="566"/>
      <c r="T22" s="566"/>
      <c r="U22" s="567"/>
      <c r="Y22" s="221"/>
    </row>
    <row r="23" spans="1:26" ht="20.100000000000001" customHeight="1">
      <c r="A23" s="553"/>
      <c r="B23" s="568" t="s">
        <v>300</v>
      </c>
      <c r="C23" s="570" t="s">
        <v>301</v>
      </c>
      <c r="D23" s="570"/>
      <c r="E23" s="570"/>
      <c r="F23" s="570"/>
      <c r="G23" s="570"/>
      <c r="H23" s="213"/>
      <c r="I23" s="571"/>
      <c r="J23" s="571"/>
      <c r="K23" s="571"/>
      <c r="L23" s="571"/>
      <c r="M23" s="571"/>
      <c r="N23" s="571"/>
      <c r="O23" s="571"/>
      <c r="P23" s="571"/>
      <c r="Q23" s="571"/>
      <c r="R23" s="571"/>
      <c r="S23" s="571"/>
      <c r="T23" s="571"/>
      <c r="U23" s="572"/>
      <c r="V23" s="211"/>
      <c r="Y23" s="221"/>
    </row>
    <row r="24" spans="1:26" ht="20.100000000000001" customHeight="1" thickBot="1">
      <c r="A24" s="554"/>
      <c r="B24" s="569"/>
      <c r="C24" s="573" t="s">
        <v>302</v>
      </c>
      <c r="D24" s="573"/>
      <c r="E24" s="573"/>
      <c r="F24" s="573"/>
      <c r="G24" s="573"/>
      <c r="H24" s="573"/>
      <c r="I24" s="573"/>
      <c r="J24" s="573"/>
      <c r="K24" s="573"/>
      <c r="L24" s="573"/>
      <c r="M24" s="573"/>
      <c r="N24" s="573"/>
      <c r="O24" s="573"/>
      <c r="P24" s="573"/>
      <c r="Q24" s="573"/>
      <c r="R24" s="573"/>
      <c r="S24" s="573"/>
      <c r="T24" s="573"/>
      <c r="U24" s="574"/>
      <c r="V24" s="211" t="s">
        <v>298</v>
      </c>
      <c r="Y24" s="221"/>
    </row>
    <row r="25" spans="1:26" ht="15" thickBot="1">
      <c r="W25" s="238" t="s">
        <v>303</v>
      </c>
      <c r="Y25" s="221"/>
    </row>
    <row r="26" spans="1:26" ht="18" customHeight="1" thickBot="1">
      <c r="A26" s="552" t="s">
        <v>304</v>
      </c>
      <c r="B26" s="555" t="s">
        <v>292</v>
      </c>
      <c r="C26" s="555"/>
      <c r="D26" s="555"/>
      <c r="E26" s="555"/>
      <c r="F26" s="555"/>
      <c r="G26" s="555"/>
      <c r="H26" s="555"/>
      <c r="I26" s="235"/>
      <c r="J26" s="236" t="s">
        <v>293</v>
      </c>
      <c r="K26" s="555" t="s">
        <v>294</v>
      </c>
      <c r="L26" s="555"/>
      <c r="M26" s="555"/>
      <c r="N26" s="555"/>
      <c r="O26" s="555"/>
      <c r="P26" s="555"/>
      <c r="Q26" s="555"/>
      <c r="R26" s="555"/>
      <c r="S26" s="555"/>
      <c r="T26" s="555"/>
      <c r="U26" s="237" t="s">
        <v>295</v>
      </c>
      <c r="Z26" s="220"/>
    </row>
    <row r="27" spans="1:26" ht="12.95" customHeight="1">
      <c r="A27" s="553"/>
      <c r="B27" s="556" t="s">
        <v>296</v>
      </c>
      <c r="C27" s="559"/>
      <c r="D27" s="560"/>
      <c r="E27" s="560"/>
      <c r="F27" s="560"/>
      <c r="G27" s="560"/>
      <c r="H27" s="560"/>
      <c r="I27" s="560"/>
      <c r="J27" s="560"/>
      <c r="K27" s="560"/>
      <c r="L27" s="560"/>
      <c r="M27" s="560"/>
      <c r="N27" s="560"/>
      <c r="O27" s="560"/>
      <c r="P27" s="560"/>
      <c r="Q27" s="560"/>
      <c r="R27" s="560"/>
      <c r="S27" s="560"/>
      <c r="T27" s="560"/>
      <c r="U27" s="561"/>
      <c r="V27" s="211" t="s">
        <v>298</v>
      </c>
      <c r="Y27" s="220"/>
    </row>
    <row r="28" spans="1:26" ht="12.95" customHeight="1">
      <c r="A28" s="553"/>
      <c r="B28" s="557"/>
      <c r="C28" s="562"/>
      <c r="D28" s="563"/>
      <c r="E28" s="563"/>
      <c r="F28" s="563"/>
      <c r="G28" s="563"/>
      <c r="H28" s="563"/>
      <c r="I28" s="563"/>
      <c r="J28" s="563"/>
      <c r="K28" s="563"/>
      <c r="L28" s="563"/>
      <c r="M28" s="563"/>
      <c r="N28" s="563"/>
      <c r="O28" s="563"/>
      <c r="P28" s="563"/>
      <c r="Q28" s="563"/>
      <c r="R28" s="563"/>
      <c r="S28" s="563"/>
      <c r="T28" s="563"/>
      <c r="U28" s="564"/>
      <c r="W28" s="238" t="s">
        <v>299</v>
      </c>
      <c r="Y28" s="220"/>
    </row>
    <row r="29" spans="1:26" ht="12.95" customHeight="1">
      <c r="A29" s="553"/>
      <c r="B29" s="557"/>
      <c r="C29" s="562"/>
      <c r="D29" s="563"/>
      <c r="E29" s="563"/>
      <c r="F29" s="563"/>
      <c r="G29" s="563"/>
      <c r="H29" s="563"/>
      <c r="I29" s="563"/>
      <c r="J29" s="563"/>
      <c r="K29" s="563"/>
      <c r="L29" s="563"/>
      <c r="M29" s="563"/>
      <c r="N29" s="563"/>
      <c r="O29" s="563"/>
      <c r="P29" s="563"/>
      <c r="Q29" s="563"/>
      <c r="R29" s="563"/>
      <c r="S29" s="563"/>
      <c r="T29" s="563"/>
      <c r="U29" s="564"/>
      <c r="Y29" s="220"/>
    </row>
    <row r="30" spans="1:26" ht="12.95" customHeight="1">
      <c r="A30" s="553"/>
      <c r="B30" s="558"/>
      <c r="C30" s="565"/>
      <c r="D30" s="566"/>
      <c r="E30" s="566"/>
      <c r="F30" s="566"/>
      <c r="G30" s="566"/>
      <c r="H30" s="566"/>
      <c r="I30" s="566"/>
      <c r="J30" s="566"/>
      <c r="K30" s="566"/>
      <c r="L30" s="566"/>
      <c r="M30" s="566"/>
      <c r="N30" s="566"/>
      <c r="O30" s="566"/>
      <c r="P30" s="566"/>
      <c r="Q30" s="566"/>
      <c r="R30" s="566"/>
      <c r="S30" s="566"/>
      <c r="T30" s="566"/>
      <c r="U30" s="567"/>
      <c r="Y30" s="221"/>
    </row>
    <row r="31" spans="1:26" ht="20.100000000000001" customHeight="1">
      <c r="A31" s="553"/>
      <c r="B31" s="568" t="s">
        <v>300</v>
      </c>
      <c r="C31" s="570" t="s">
        <v>301</v>
      </c>
      <c r="D31" s="570"/>
      <c r="E31" s="570"/>
      <c r="F31" s="570"/>
      <c r="G31" s="570"/>
      <c r="H31" s="213"/>
      <c r="I31" s="575"/>
      <c r="J31" s="575"/>
      <c r="K31" s="575"/>
      <c r="L31" s="575"/>
      <c r="M31" s="575"/>
      <c r="N31" s="575"/>
      <c r="O31" s="575"/>
      <c r="P31" s="575"/>
      <c r="Q31" s="575"/>
      <c r="R31" s="575"/>
      <c r="S31" s="575"/>
      <c r="T31" s="575"/>
      <c r="U31" s="576"/>
      <c r="V31" s="211" t="s">
        <v>305</v>
      </c>
      <c r="Y31" s="221"/>
    </row>
    <row r="32" spans="1:26" ht="20.100000000000001" customHeight="1" thickBot="1">
      <c r="A32" s="554"/>
      <c r="B32" s="569"/>
      <c r="C32" s="577"/>
      <c r="D32" s="577"/>
      <c r="E32" s="577"/>
      <c r="F32" s="577"/>
      <c r="G32" s="577"/>
      <c r="H32" s="577"/>
      <c r="I32" s="577"/>
      <c r="J32" s="577"/>
      <c r="K32" s="577"/>
      <c r="L32" s="577"/>
      <c r="M32" s="577"/>
      <c r="N32" s="577"/>
      <c r="O32" s="577"/>
      <c r="P32" s="577"/>
      <c r="Q32" s="577"/>
      <c r="R32" s="577"/>
      <c r="S32" s="577"/>
      <c r="T32" s="577"/>
      <c r="U32" s="578"/>
      <c r="V32" s="211" t="s">
        <v>298</v>
      </c>
      <c r="Y32" s="221"/>
    </row>
    <row r="33" spans="1:26" ht="15" thickBot="1">
      <c r="W33" s="238" t="s">
        <v>303</v>
      </c>
      <c r="Y33" s="221"/>
    </row>
    <row r="34" spans="1:26" ht="18" customHeight="1" thickBot="1">
      <c r="A34" s="552" t="s">
        <v>306</v>
      </c>
      <c r="B34" s="555" t="s">
        <v>292</v>
      </c>
      <c r="C34" s="555"/>
      <c r="D34" s="555"/>
      <c r="E34" s="555"/>
      <c r="F34" s="555"/>
      <c r="G34" s="555"/>
      <c r="H34" s="555"/>
      <c r="I34" s="235"/>
      <c r="J34" s="236" t="s">
        <v>293</v>
      </c>
      <c r="K34" s="555" t="s">
        <v>294</v>
      </c>
      <c r="L34" s="555"/>
      <c r="M34" s="555"/>
      <c r="N34" s="555"/>
      <c r="O34" s="555"/>
      <c r="P34" s="555"/>
      <c r="Q34" s="555"/>
      <c r="R34" s="555"/>
      <c r="S34" s="555"/>
      <c r="T34" s="555"/>
      <c r="U34" s="237" t="s">
        <v>295</v>
      </c>
      <c r="Z34" s="220"/>
    </row>
    <row r="35" spans="1:26" ht="12.95" customHeight="1">
      <c r="A35" s="553"/>
      <c r="B35" s="556" t="s">
        <v>296</v>
      </c>
      <c r="C35" s="559"/>
      <c r="D35" s="560"/>
      <c r="E35" s="560"/>
      <c r="F35" s="560"/>
      <c r="G35" s="560"/>
      <c r="H35" s="560"/>
      <c r="I35" s="560"/>
      <c r="J35" s="560"/>
      <c r="K35" s="560"/>
      <c r="L35" s="560"/>
      <c r="M35" s="560"/>
      <c r="N35" s="560"/>
      <c r="O35" s="560"/>
      <c r="P35" s="560"/>
      <c r="Q35" s="560"/>
      <c r="R35" s="560"/>
      <c r="S35" s="560"/>
      <c r="T35" s="560"/>
      <c r="U35" s="561"/>
      <c r="V35" s="211" t="s">
        <v>298</v>
      </c>
      <c r="Y35" s="220"/>
    </row>
    <row r="36" spans="1:26" ht="12.95" customHeight="1">
      <c r="A36" s="553"/>
      <c r="B36" s="557"/>
      <c r="C36" s="562"/>
      <c r="D36" s="563"/>
      <c r="E36" s="563"/>
      <c r="F36" s="563"/>
      <c r="G36" s="563"/>
      <c r="H36" s="563"/>
      <c r="I36" s="563"/>
      <c r="J36" s="563"/>
      <c r="K36" s="563"/>
      <c r="L36" s="563"/>
      <c r="M36" s="563"/>
      <c r="N36" s="563"/>
      <c r="O36" s="563"/>
      <c r="P36" s="563"/>
      <c r="Q36" s="563"/>
      <c r="R36" s="563"/>
      <c r="S36" s="563"/>
      <c r="T36" s="563"/>
      <c r="U36" s="564"/>
      <c r="W36" s="238" t="s">
        <v>299</v>
      </c>
      <c r="Y36" s="220"/>
    </row>
    <row r="37" spans="1:26" ht="12.95" customHeight="1">
      <c r="A37" s="553"/>
      <c r="B37" s="557"/>
      <c r="C37" s="562"/>
      <c r="D37" s="563"/>
      <c r="E37" s="563"/>
      <c r="F37" s="563"/>
      <c r="G37" s="563"/>
      <c r="H37" s="563"/>
      <c r="I37" s="563"/>
      <c r="J37" s="563"/>
      <c r="K37" s="563"/>
      <c r="L37" s="563"/>
      <c r="M37" s="563"/>
      <c r="N37" s="563"/>
      <c r="O37" s="563"/>
      <c r="P37" s="563"/>
      <c r="Q37" s="563"/>
      <c r="R37" s="563"/>
      <c r="S37" s="563"/>
      <c r="T37" s="563"/>
      <c r="U37" s="564"/>
      <c r="Y37" s="220"/>
    </row>
    <row r="38" spans="1:26" ht="12.95" customHeight="1">
      <c r="A38" s="553"/>
      <c r="B38" s="558"/>
      <c r="C38" s="565"/>
      <c r="D38" s="566"/>
      <c r="E38" s="566"/>
      <c r="F38" s="566"/>
      <c r="G38" s="566"/>
      <c r="H38" s="566"/>
      <c r="I38" s="566"/>
      <c r="J38" s="566"/>
      <c r="K38" s="566"/>
      <c r="L38" s="566"/>
      <c r="M38" s="566"/>
      <c r="N38" s="566"/>
      <c r="O38" s="566"/>
      <c r="P38" s="566"/>
      <c r="Q38" s="566"/>
      <c r="R38" s="566"/>
      <c r="S38" s="566"/>
      <c r="T38" s="566"/>
      <c r="U38" s="567"/>
      <c r="Y38" s="221"/>
    </row>
    <row r="39" spans="1:26" ht="20.100000000000001" customHeight="1">
      <c r="A39" s="553"/>
      <c r="B39" s="568" t="s">
        <v>300</v>
      </c>
      <c r="C39" s="570" t="s">
        <v>301</v>
      </c>
      <c r="D39" s="570"/>
      <c r="E39" s="570"/>
      <c r="F39" s="570"/>
      <c r="G39" s="570"/>
      <c r="H39" s="213"/>
      <c r="I39" s="575"/>
      <c r="J39" s="575"/>
      <c r="K39" s="575"/>
      <c r="L39" s="575"/>
      <c r="M39" s="575"/>
      <c r="N39" s="575"/>
      <c r="O39" s="575"/>
      <c r="P39" s="575"/>
      <c r="Q39" s="575"/>
      <c r="R39" s="575"/>
      <c r="S39" s="575"/>
      <c r="T39" s="575"/>
      <c r="U39" s="576"/>
      <c r="V39" s="211" t="s">
        <v>305</v>
      </c>
      <c r="Y39" s="221"/>
    </row>
    <row r="40" spans="1:26" ht="20.100000000000001" customHeight="1" thickBot="1">
      <c r="A40" s="554"/>
      <c r="B40" s="569"/>
      <c r="C40" s="577"/>
      <c r="D40" s="577"/>
      <c r="E40" s="577"/>
      <c r="F40" s="577"/>
      <c r="G40" s="577"/>
      <c r="H40" s="577"/>
      <c r="I40" s="577"/>
      <c r="J40" s="577"/>
      <c r="K40" s="577"/>
      <c r="L40" s="577"/>
      <c r="M40" s="577"/>
      <c r="N40" s="577"/>
      <c r="O40" s="577"/>
      <c r="P40" s="577"/>
      <c r="Q40" s="577"/>
      <c r="R40" s="577"/>
      <c r="S40" s="577"/>
      <c r="T40" s="577"/>
      <c r="U40" s="578"/>
      <c r="V40" s="211" t="s">
        <v>298</v>
      </c>
      <c r="Y40" s="221"/>
    </row>
    <row r="41" spans="1:26" ht="15" thickBot="1">
      <c r="W41" s="238" t="s">
        <v>303</v>
      </c>
      <c r="Y41" s="221"/>
    </row>
    <row r="42" spans="1:26" ht="18" customHeight="1" thickBot="1">
      <c r="A42" s="552" t="s">
        <v>307</v>
      </c>
      <c r="B42" s="555" t="s">
        <v>292</v>
      </c>
      <c r="C42" s="555"/>
      <c r="D42" s="555"/>
      <c r="E42" s="555"/>
      <c r="F42" s="555"/>
      <c r="G42" s="555"/>
      <c r="H42" s="555"/>
      <c r="I42" s="235"/>
      <c r="J42" s="236" t="s">
        <v>293</v>
      </c>
      <c r="K42" s="555" t="s">
        <v>294</v>
      </c>
      <c r="L42" s="580"/>
      <c r="M42" s="555"/>
      <c r="N42" s="555"/>
      <c r="O42" s="555"/>
      <c r="P42" s="555"/>
      <c r="Q42" s="555"/>
      <c r="R42" s="555"/>
      <c r="S42" s="555"/>
      <c r="T42" s="555"/>
      <c r="U42" s="237" t="s">
        <v>295</v>
      </c>
      <c r="Z42" s="220"/>
    </row>
    <row r="43" spans="1:26" ht="12.95" customHeight="1">
      <c r="A43" s="553"/>
      <c r="B43" s="556" t="s">
        <v>296</v>
      </c>
      <c r="C43" s="559"/>
      <c r="D43" s="560"/>
      <c r="E43" s="560"/>
      <c r="F43" s="560"/>
      <c r="G43" s="560"/>
      <c r="H43" s="560"/>
      <c r="I43" s="560"/>
      <c r="J43" s="560"/>
      <c r="K43" s="560"/>
      <c r="L43" s="560"/>
      <c r="M43" s="560"/>
      <c r="N43" s="560"/>
      <c r="O43" s="560"/>
      <c r="P43" s="560"/>
      <c r="Q43" s="560"/>
      <c r="R43" s="560"/>
      <c r="S43" s="560"/>
      <c r="T43" s="560"/>
      <c r="U43" s="561"/>
      <c r="V43" s="211" t="s">
        <v>298</v>
      </c>
      <c r="Y43" s="220"/>
    </row>
    <row r="44" spans="1:26" ht="12.95" customHeight="1">
      <c r="A44" s="553"/>
      <c r="B44" s="557"/>
      <c r="C44" s="562"/>
      <c r="D44" s="563"/>
      <c r="E44" s="563"/>
      <c r="F44" s="563"/>
      <c r="G44" s="563"/>
      <c r="H44" s="563"/>
      <c r="I44" s="563"/>
      <c r="J44" s="563"/>
      <c r="K44" s="563"/>
      <c r="L44" s="563"/>
      <c r="M44" s="563"/>
      <c r="N44" s="563"/>
      <c r="O44" s="563"/>
      <c r="P44" s="563"/>
      <c r="Q44" s="563"/>
      <c r="R44" s="563"/>
      <c r="S44" s="563"/>
      <c r="T44" s="563"/>
      <c r="U44" s="564"/>
      <c r="W44" s="238" t="s">
        <v>299</v>
      </c>
      <c r="Y44" s="220"/>
    </row>
    <row r="45" spans="1:26" ht="12.95" customHeight="1">
      <c r="A45" s="553"/>
      <c r="B45" s="557"/>
      <c r="C45" s="562"/>
      <c r="D45" s="563"/>
      <c r="E45" s="563"/>
      <c r="F45" s="563"/>
      <c r="G45" s="563"/>
      <c r="H45" s="563"/>
      <c r="I45" s="563"/>
      <c r="J45" s="563"/>
      <c r="K45" s="563"/>
      <c r="L45" s="563"/>
      <c r="M45" s="563"/>
      <c r="N45" s="563"/>
      <c r="O45" s="563"/>
      <c r="P45" s="563"/>
      <c r="Q45" s="563"/>
      <c r="R45" s="563"/>
      <c r="S45" s="563"/>
      <c r="T45" s="563"/>
      <c r="U45" s="564"/>
      <c r="Y45" s="220"/>
    </row>
    <row r="46" spans="1:26" ht="12.95" customHeight="1">
      <c r="A46" s="553"/>
      <c r="B46" s="558"/>
      <c r="C46" s="565"/>
      <c r="D46" s="566"/>
      <c r="E46" s="566"/>
      <c r="F46" s="566"/>
      <c r="G46" s="566"/>
      <c r="H46" s="566"/>
      <c r="I46" s="566"/>
      <c r="J46" s="566"/>
      <c r="K46" s="566"/>
      <c r="L46" s="566"/>
      <c r="M46" s="566"/>
      <c r="N46" s="566"/>
      <c r="O46" s="566"/>
      <c r="P46" s="566"/>
      <c r="Q46" s="566"/>
      <c r="R46" s="566"/>
      <c r="S46" s="566"/>
      <c r="T46" s="566"/>
      <c r="U46" s="567"/>
      <c r="Y46" s="221"/>
    </row>
    <row r="47" spans="1:26" ht="20.100000000000001" customHeight="1">
      <c r="A47" s="553"/>
      <c r="B47" s="568" t="s">
        <v>300</v>
      </c>
      <c r="C47" s="570" t="s">
        <v>301</v>
      </c>
      <c r="D47" s="570"/>
      <c r="E47" s="570"/>
      <c r="F47" s="570"/>
      <c r="G47" s="570"/>
      <c r="H47" s="213"/>
      <c r="I47" s="575"/>
      <c r="J47" s="575"/>
      <c r="K47" s="575"/>
      <c r="L47" s="575"/>
      <c r="M47" s="575"/>
      <c r="N47" s="575"/>
      <c r="O47" s="575"/>
      <c r="P47" s="575"/>
      <c r="Q47" s="575"/>
      <c r="R47" s="575"/>
      <c r="S47" s="575"/>
      <c r="T47" s="575"/>
      <c r="U47" s="576"/>
      <c r="V47" s="211" t="s">
        <v>305</v>
      </c>
      <c r="Y47" s="221"/>
    </row>
    <row r="48" spans="1:26" ht="20.100000000000001" customHeight="1" thickBot="1">
      <c r="A48" s="554"/>
      <c r="B48" s="569"/>
      <c r="C48" s="577"/>
      <c r="D48" s="577"/>
      <c r="E48" s="577"/>
      <c r="F48" s="577"/>
      <c r="G48" s="577"/>
      <c r="H48" s="577"/>
      <c r="I48" s="577"/>
      <c r="J48" s="577"/>
      <c r="K48" s="577"/>
      <c r="L48" s="577"/>
      <c r="M48" s="577"/>
      <c r="N48" s="577"/>
      <c r="O48" s="577"/>
      <c r="P48" s="577"/>
      <c r="Q48" s="577"/>
      <c r="R48" s="577"/>
      <c r="S48" s="577"/>
      <c r="T48" s="577"/>
      <c r="U48" s="578"/>
      <c r="V48" s="211" t="s">
        <v>298</v>
      </c>
      <c r="Y48" s="221"/>
    </row>
    <row r="49" spans="1:26" ht="14.25">
      <c r="W49" s="238" t="s">
        <v>303</v>
      </c>
      <c r="Y49" s="221"/>
    </row>
    <row r="50" spans="1:26" ht="36" customHeight="1">
      <c r="A50" s="579"/>
      <c r="B50" s="579"/>
      <c r="C50" s="579"/>
      <c r="D50" s="579"/>
      <c r="E50" s="579"/>
      <c r="F50" s="579"/>
      <c r="G50" s="579"/>
      <c r="H50" s="579"/>
      <c r="I50" s="579"/>
      <c r="J50" s="579"/>
      <c r="K50" s="579"/>
      <c r="L50" s="579"/>
      <c r="M50" s="579"/>
      <c r="N50" s="579"/>
      <c r="O50" s="579"/>
      <c r="P50" s="579"/>
      <c r="Q50" s="579"/>
      <c r="R50" s="579"/>
      <c r="S50" s="579"/>
      <c r="T50" s="579"/>
      <c r="U50" s="579"/>
      <c r="Z50" s="221"/>
    </row>
    <row r="52" spans="1:26" ht="14.25">
      <c r="X52" s="211" t="s">
        <v>308</v>
      </c>
    </row>
    <row r="53" spans="1:26">
      <c r="X53" s="239" t="s">
        <v>297</v>
      </c>
    </row>
    <row r="54" spans="1:26">
      <c r="X54" s="202" t="s">
        <v>309</v>
      </c>
    </row>
    <row r="55" spans="1:26">
      <c r="X55" s="202" t="s">
        <v>310</v>
      </c>
    </row>
    <row r="56" spans="1:26">
      <c r="X56" s="202" t="s">
        <v>311</v>
      </c>
    </row>
    <row r="57" spans="1:26">
      <c r="X57" s="239" t="s">
        <v>312</v>
      </c>
    </row>
    <row r="58" spans="1:26">
      <c r="X58" s="239" t="s">
        <v>313</v>
      </c>
    </row>
    <row r="61" spans="1:26" ht="14.25">
      <c r="X61" s="211" t="s">
        <v>314</v>
      </c>
    </row>
    <row r="62" spans="1:26">
      <c r="X62" s="202" t="s">
        <v>315</v>
      </c>
    </row>
    <row r="63" spans="1:26">
      <c r="X63" s="202" t="s">
        <v>316</v>
      </c>
    </row>
    <row r="64" spans="1:26">
      <c r="X64" s="202" t="s">
        <v>110</v>
      </c>
    </row>
    <row r="65" spans="24:24">
      <c r="X65" s="202" t="s">
        <v>317</v>
      </c>
    </row>
  </sheetData>
  <mergeCells count="67">
    <mergeCell ref="D1:R1"/>
    <mergeCell ref="A1:B1"/>
    <mergeCell ref="A4:U4"/>
    <mergeCell ref="D3:U3"/>
    <mergeCell ref="V6:AI7"/>
    <mergeCell ref="M5:U5"/>
    <mergeCell ref="G2:U2"/>
    <mergeCell ref="C7:J7"/>
    <mergeCell ref="K7:M7"/>
    <mergeCell ref="N7:U7"/>
    <mergeCell ref="M6:U6"/>
    <mergeCell ref="A5:B5"/>
    <mergeCell ref="C5:K5"/>
    <mergeCell ref="A6:B6"/>
    <mergeCell ref="C6:J6"/>
    <mergeCell ref="K6:L6"/>
    <mergeCell ref="A50:U50"/>
    <mergeCell ref="A42:A48"/>
    <mergeCell ref="B42:H42"/>
    <mergeCell ref="K42:T42"/>
    <mergeCell ref="B43:B46"/>
    <mergeCell ref="C43:U46"/>
    <mergeCell ref="B47:B48"/>
    <mergeCell ref="C47:G47"/>
    <mergeCell ref="I47:U47"/>
    <mergeCell ref="C48:U48"/>
    <mergeCell ref="A34:A40"/>
    <mergeCell ref="B34:H34"/>
    <mergeCell ref="K34:T34"/>
    <mergeCell ref="B35:B38"/>
    <mergeCell ref="C35:U38"/>
    <mergeCell ref="B39:B40"/>
    <mergeCell ref="C39:G39"/>
    <mergeCell ref="I39:U39"/>
    <mergeCell ref="C40:U40"/>
    <mergeCell ref="A26:A32"/>
    <mergeCell ref="B26:H26"/>
    <mergeCell ref="K26:T26"/>
    <mergeCell ref="B27:B30"/>
    <mergeCell ref="C27:U30"/>
    <mergeCell ref="B31:B32"/>
    <mergeCell ref="C31:G31"/>
    <mergeCell ref="I31:U31"/>
    <mergeCell ref="C32:U32"/>
    <mergeCell ref="A18:A24"/>
    <mergeCell ref="B18:H18"/>
    <mergeCell ref="K18:T18"/>
    <mergeCell ref="B19:B22"/>
    <mergeCell ref="C19:U22"/>
    <mergeCell ref="B23:B24"/>
    <mergeCell ref="C23:G23"/>
    <mergeCell ref="I23:U23"/>
    <mergeCell ref="C24:U24"/>
    <mergeCell ref="A9:B9"/>
    <mergeCell ref="I9:N9"/>
    <mergeCell ref="X11:AO11"/>
    <mergeCell ref="X10:AO10"/>
    <mergeCell ref="A11:A16"/>
    <mergeCell ref="G11:J11"/>
    <mergeCell ref="L11:N11"/>
    <mergeCell ref="B12:B13"/>
    <mergeCell ref="C12:U13"/>
    <mergeCell ref="C14:U14"/>
    <mergeCell ref="B15:B16"/>
    <mergeCell ref="T15:U16"/>
    <mergeCell ref="C15:S16"/>
    <mergeCell ref="P11:S11"/>
  </mergeCells>
  <phoneticPr fontId="1"/>
  <conditionalFormatting sqref="M6:U6 C7:J7 N7:U7">
    <cfRule type="containsText" dxfId="6" priority="8" operator="containsText" text="*">
      <formula>NOT(ISERROR(SEARCH("*",C6)))</formula>
    </cfRule>
  </conditionalFormatting>
  <conditionalFormatting sqref="I9:N9 Q9 F9">
    <cfRule type="containsText" priority="7" operator="containsText" text="*">
      <formula>NOT(ISERROR(SEARCH("*",F9)))</formula>
    </cfRule>
  </conditionalFormatting>
  <conditionalFormatting sqref="M6:U6 C7:J7 N7:U7">
    <cfRule type="containsText" dxfId="5" priority="6" operator="containsText" text="*">
      <formula>NOT(ISERROR(SEARCH("*",C6)))</formula>
    </cfRule>
  </conditionalFormatting>
  <conditionalFormatting sqref="C24:U24 I23:U23 I31:U31 I39:U39 I47:U47 C32:U32 C40:U40 C48:U48">
    <cfRule type="containsText" dxfId="4" priority="5" operator="containsText" text="*">
      <formula>NOT(ISERROR(SEARCH("*",C23)))</formula>
    </cfRule>
  </conditionalFormatting>
  <conditionalFormatting sqref="C27:U30">
    <cfRule type="expression" dxfId="3" priority="4">
      <formula>$C$27=""</formula>
    </cfRule>
  </conditionalFormatting>
  <conditionalFormatting sqref="C43:U46">
    <cfRule type="expression" dxfId="2" priority="2">
      <formula>$C$43=""</formula>
    </cfRule>
  </conditionalFormatting>
  <conditionalFormatting sqref="C35:U38">
    <cfRule type="expression" dxfId="1" priority="1">
      <formula>$C$35=""</formula>
    </cfRule>
  </conditionalFormatting>
  <dataValidations count="6">
    <dataValidation type="list" allowBlank="1" showInputMessage="1" showErrorMessage="1" sqref="C19:U22" xr:uid="{00000000-0002-0000-0300-000000000000}">
      <formula1>$X$53:$X$58</formula1>
    </dataValidation>
    <dataValidation imeMode="halfAlpha" allowBlank="1" showInputMessage="1" showErrorMessage="1" sqref="N7:U7 G11:J11 L11:N11 P11:S11" xr:uid="{00000000-0002-0000-0300-000001000000}"/>
    <dataValidation type="list" allowBlank="1" showInputMessage="1" showErrorMessage="1" sqref="WVY983005 JB9 SX9 ACT9 AMP9 AWL9 BGH9 BQD9 BZZ9 CJV9 CTR9 DDN9 DNJ9 DXF9 EHB9 EQX9 FAT9 FKP9 FUL9 GEH9 GOD9 GXZ9 HHV9 HRR9 IBN9 ILJ9 IVF9 JFB9 JOX9 JYT9 KIP9 KSL9 LCH9 LMD9 LVZ9 MFV9 MPR9 MZN9 NJJ9 NTF9 ODB9 OMX9 OWT9 PGP9 PQL9 QAH9 QKD9 QTZ9 RDV9 RNR9 RXN9 SHJ9 SRF9 TBB9 TKX9 TUT9 UEP9 UOL9 UYH9 VID9 VRZ9 WBV9 WLR9 WVN9 F65501 JB65501 SX65501 ACT65501 AMP65501 AWL65501 BGH65501 BQD65501 BZZ65501 CJV65501 CTR65501 DDN65501 DNJ65501 DXF65501 EHB65501 EQX65501 FAT65501 FKP65501 FUL65501 GEH65501 GOD65501 GXZ65501 HHV65501 HRR65501 IBN65501 ILJ65501 IVF65501 JFB65501 JOX65501 JYT65501 KIP65501 KSL65501 LCH65501 LMD65501 LVZ65501 MFV65501 MPR65501 MZN65501 NJJ65501 NTF65501 ODB65501 OMX65501 OWT65501 PGP65501 PQL65501 QAH65501 QKD65501 QTZ65501 RDV65501 RNR65501 RXN65501 SHJ65501 SRF65501 TBB65501 TKX65501 TUT65501 UEP65501 UOL65501 UYH65501 VID65501 VRZ65501 WBV65501 WLR65501 WVN65501 F131037 JB131037 SX131037 ACT131037 AMP131037 AWL131037 BGH131037 BQD131037 BZZ131037 CJV131037 CTR131037 DDN131037 DNJ131037 DXF131037 EHB131037 EQX131037 FAT131037 FKP131037 FUL131037 GEH131037 GOD131037 GXZ131037 HHV131037 HRR131037 IBN131037 ILJ131037 IVF131037 JFB131037 JOX131037 JYT131037 KIP131037 KSL131037 LCH131037 LMD131037 LVZ131037 MFV131037 MPR131037 MZN131037 NJJ131037 NTF131037 ODB131037 OMX131037 OWT131037 PGP131037 PQL131037 QAH131037 QKD131037 QTZ131037 RDV131037 RNR131037 RXN131037 SHJ131037 SRF131037 TBB131037 TKX131037 TUT131037 UEP131037 UOL131037 UYH131037 VID131037 VRZ131037 WBV131037 WLR131037 WVN131037 F196573 JB196573 SX196573 ACT196573 AMP196573 AWL196573 BGH196573 BQD196573 BZZ196573 CJV196573 CTR196573 DDN196573 DNJ196573 DXF196573 EHB196573 EQX196573 FAT196573 FKP196573 FUL196573 GEH196573 GOD196573 GXZ196573 HHV196573 HRR196573 IBN196573 ILJ196573 IVF196573 JFB196573 JOX196573 JYT196573 KIP196573 KSL196573 LCH196573 LMD196573 LVZ196573 MFV196573 MPR196573 MZN196573 NJJ196573 NTF196573 ODB196573 OMX196573 OWT196573 PGP196573 PQL196573 QAH196573 QKD196573 QTZ196573 RDV196573 RNR196573 RXN196573 SHJ196573 SRF196573 TBB196573 TKX196573 TUT196573 UEP196573 UOL196573 UYH196573 VID196573 VRZ196573 WBV196573 WLR196573 WVN196573 F262109 JB262109 SX262109 ACT262109 AMP262109 AWL262109 BGH262109 BQD262109 BZZ262109 CJV262109 CTR262109 DDN262109 DNJ262109 DXF262109 EHB262109 EQX262109 FAT262109 FKP262109 FUL262109 GEH262109 GOD262109 GXZ262109 HHV262109 HRR262109 IBN262109 ILJ262109 IVF262109 JFB262109 JOX262109 JYT262109 KIP262109 KSL262109 LCH262109 LMD262109 LVZ262109 MFV262109 MPR262109 MZN262109 NJJ262109 NTF262109 ODB262109 OMX262109 OWT262109 PGP262109 PQL262109 QAH262109 QKD262109 QTZ262109 RDV262109 RNR262109 RXN262109 SHJ262109 SRF262109 TBB262109 TKX262109 TUT262109 UEP262109 UOL262109 UYH262109 VID262109 VRZ262109 WBV262109 WLR262109 WVN262109 F327645 JB327645 SX327645 ACT327645 AMP327645 AWL327645 BGH327645 BQD327645 BZZ327645 CJV327645 CTR327645 DDN327645 DNJ327645 DXF327645 EHB327645 EQX327645 FAT327645 FKP327645 FUL327645 GEH327645 GOD327645 GXZ327645 HHV327645 HRR327645 IBN327645 ILJ327645 IVF327645 JFB327645 JOX327645 JYT327645 KIP327645 KSL327645 LCH327645 LMD327645 LVZ327645 MFV327645 MPR327645 MZN327645 NJJ327645 NTF327645 ODB327645 OMX327645 OWT327645 PGP327645 PQL327645 QAH327645 QKD327645 QTZ327645 RDV327645 RNR327645 RXN327645 SHJ327645 SRF327645 TBB327645 TKX327645 TUT327645 UEP327645 UOL327645 UYH327645 VID327645 VRZ327645 WBV327645 WLR327645 WVN327645 F393181 JB393181 SX393181 ACT393181 AMP393181 AWL393181 BGH393181 BQD393181 BZZ393181 CJV393181 CTR393181 DDN393181 DNJ393181 DXF393181 EHB393181 EQX393181 FAT393181 FKP393181 FUL393181 GEH393181 GOD393181 GXZ393181 HHV393181 HRR393181 IBN393181 ILJ393181 IVF393181 JFB393181 JOX393181 JYT393181 KIP393181 KSL393181 LCH393181 LMD393181 LVZ393181 MFV393181 MPR393181 MZN393181 NJJ393181 NTF393181 ODB393181 OMX393181 OWT393181 PGP393181 PQL393181 QAH393181 QKD393181 QTZ393181 RDV393181 RNR393181 RXN393181 SHJ393181 SRF393181 TBB393181 TKX393181 TUT393181 UEP393181 UOL393181 UYH393181 VID393181 VRZ393181 WBV393181 WLR393181 WVN393181 F458717 JB458717 SX458717 ACT458717 AMP458717 AWL458717 BGH458717 BQD458717 BZZ458717 CJV458717 CTR458717 DDN458717 DNJ458717 DXF458717 EHB458717 EQX458717 FAT458717 FKP458717 FUL458717 GEH458717 GOD458717 GXZ458717 HHV458717 HRR458717 IBN458717 ILJ458717 IVF458717 JFB458717 JOX458717 JYT458717 KIP458717 KSL458717 LCH458717 LMD458717 LVZ458717 MFV458717 MPR458717 MZN458717 NJJ458717 NTF458717 ODB458717 OMX458717 OWT458717 PGP458717 PQL458717 QAH458717 QKD458717 QTZ458717 RDV458717 RNR458717 RXN458717 SHJ458717 SRF458717 TBB458717 TKX458717 TUT458717 UEP458717 UOL458717 UYH458717 VID458717 VRZ458717 WBV458717 WLR458717 WVN458717 F524253 JB524253 SX524253 ACT524253 AMP524253 AWL524253 BGH524253 BQD524253 BZZ524253 CJV524253 CTR524253 DDN524253 DNJ524253 DXF524253 EHB524253 EQX524253 FAT524253 FKP524253 FUL524253 GEH524253 GOD524253 GXZ524253 HHV524253 HRR524253 IBN524253 ILJ524253 IVF524253 JFB524253 JOX524253 JYT524253 KIP524253 KSL524253 LCH524253 LMD524253 LVZ524253 MFV524253 MPR524253 MZN524253 NJJ524253 NTF524253 ODB524253 OMX524253 OWT524253 PGP524253 PQL524253 QAH524253 QKD524253 QTZ524253 RDV524253 RNR524253 RXN524253 SHJ524253 SRF524253 TBB524253 TKX524253 TUT524253 UEP524253 UOL524253 UYH524253 VID524253 VRZ524253 WBV524253 WLR524253 WVN524253 F589789 JB589789 SX589789 ACT589789 AMP589789 AWL589789 BGH589789 BQD589789 BZZ589789 CJV589789 CTR589789 DDN589789 DNJ589789 DXF589789 EHB589789 EQX589789 FAT589789 FKP589789 FUL589789 GEH589789 GOD589789 GXZ589789 HHV589789 HRR589789 IBN589789 ILJ589789 IVF589789 JFB589789 JOX589789 JYT589789 KIP589789 KSL589789 LCH589789 LMD589789 LVZ589789 MFV589789 MPR589789 MZN589789 NJJ589789 NTF589789 ODB589789 OMX589789 OWT589789 PGP589789 PQL589789 QAH589789 QKD589789 QTZ589789 RDV589789 RNR589789 RXN589789 SHJ589789 SRF589789 TBB589789 TKX589789 TUT589789 UEP589789 UOL589789 UYH589789 VID589789 VRZ589789 WBV589789 WLR589789 WVN589789 F655325 JB655325 SX655325 ACT655325 AMP655325 AWL655325 BGH655325 BQD655325 BZZ655325 CJV655325 CTR655325 DDN655325 DNJ655325 DXF655325 EHB655325 EQX655325 FAT655325 FKP655325 FUL655325 GEH655325 GOD655325 GXZ655325 HHV655325 HRR655325 IBN655325 ILJ655325 IVF655325 JFB655325 JOX655325 JYT655325 KIP655325 KSL655325 LCH655325 LMD655325 LVZ655325 MFV655325 MPR655325 MZN655325 NJJ655325 NTF655325 ODB655325 OMX655325 OWT655325 PGP655325 PQL655325 QAH655325 QKD655325 QTZ655325 RDV655325 RNR655325 RXN655325 SHJ655325 SRF655325 TBB655325 TKX655325 TUT655325 UEP655325 UOL655325 UYH655325 VID655325 VRZ655325 WBV655325 WLR655325 WVN655325 F720861 JB720861 SX720861 ACT720861 AMP720861 AWL720861 BGH720861 BQD720861 BZZ720861 CJV720861 CTR720861 DDN720861 DNJ720861 DXF720861 EHB720861 EQX720861 FAT720861 FKP720861 FUL720861 GEH720861 GOD720861 GXZ720861 HHV720861 HRR720861 IBN720861 ILJ720861 IVF720861 JFB720861 JOX720861 JYT720861 KIP720861 KSL720861 LCH720861 LMD720861 LVZ720861 MFV720861 MPR720861 MZN720861 NJJ720861 NTF720861 ODB720861 OMX720861 OWT720861 PGP720861 PQL720861 QAH720861 QKD720861 QTZ720861 RDV720861 RNR720861 RXN720861 SHJ720861 SRF720861 TBB720861 TKX720861 TUT720861 UEP720861 UOL720861 UYH720861 VID720861 VRZ720861 WBV720861 WLR720861 WVN720861 F786397 JB786397 SX786397 ACT786397 AMP786397 AWL786397 BGH786397 BQD786397 BZZ786397 CJV786397 CTR786397 DDN786397 DNJ786397 DXF786397 EHB786397 EQX786397 FAT786397 FKP786397 FUL786397 GEH786397 GOD786397 GXZ786397 HHV786397 HRR786397 IBN786397 ILJ786397 IVF786397 JFB786397 JOX786397 JYT786397 KIP786397 KSL786397 LCH786397 LMD786397 LVZ786397 MFV786397 MPR786397 MZN786397 NJJ786397 NTF786397 ODB786397 OMX786397 OWT786397 PGP786397 PQL786397 QAH786397 QKD786397 QTZ786397 RDV786397 RNR786397 RXN786397 SHJ786397 SRF786397 TBB786397 TKX786397 TUT786397 UEP786397 UOL786397 UYH786397 VID786397 VRZ786397 WBV786397 WLR786397 WVN786397 F851933 JB851933 SX851933 ACT851933 AMP851933 AWL851933 BGH851933 BQD851933 BZZ851933 CJV851933 CTR851933 DDN851933 DNJ851933 DXF851933 EHB851933 EQX851933 FAT851933 FKP851933 FUL851933 GEH851933 GOD851933 GXZ851933 HHV851933 HRR851933 IBN851933 ILJ851933 IVF851933 JFB851933 JOX851933 JYT851933 KIP851933 KSL851933 LCH851933 LMD851933 LVZ851933 MFV851933 MPR851933 MZN851933 NJJ851933 NTF851933 ODB851933 OMX851933 OWT851933 PGP851933 PQL851933 QAH851933 QKD851933 QTZ851933 RDV851933 RNR851933 RXN851933 SHJ851933 SRF851933 TBB851933 TKX851933 TUT851933 UEP851933 UOL851933 UYH851933 VID851933 VRZ851933 WBV851933 WLR851933 WVN851933 F917469 JB917469 SX917469 ACT917469 AMP917469 AWL917469 BGH917469 BQD917469 BZZ917469 CJV917469 CTR917469 DDN917469 DNJ917469 DXF917469 EHB917469 EQX917469 FAT917469 FKP917469 FUL917469 GEH917469 GOD917469 GXZ917469 HHV917469 HRR917469 IBN917469 ILJ917469 IVF917469 JFB917469 JOX917469 JYT917469 KIP917469 KSL917469 LCH917469 LMD917469 LVZ917469 MFV917469 MPR917469 MZN917469 NJJ917469 NTF917469 ODB917469 OMX917469 OWT917469 PGP917469 PQL917469 QAH917469 QKD917469 QTZ917469 RDV917469 RNR917469 RXN917469 SHJ917469 SRF917469 TBB917469 TKX917469 TUT917469 UEP917469 UOL917469 UYH917469 VID917469 VRZ917469 WBV917469 WLR917469 WVN917469 F983005 JB983005 SX983005 ACT983005 AMP983005 AWL983005 BGH983005 BQD983005 BZZ983005 CJV983005 CTR983005 DDN983005 DNJ983005 DXF983005 EHB983005 EQX983005 FAT983005 FKP983005 FUL983005 GEH983005 GOD983005 GXZ983005 HHV983005 HRR983005 IBN983005 ILJ983005 IVF983005 JFB983005 JOX983005 JYT983005 KIP983005 KSL983005 LCH983005 LMD983005 LVZ983005 MFV983005 MPR983005 MZN983005 NJJ983005 NTF983005 ODB983005 OMX983005 OWT983005 PGP983005 PQL983005 QAH983005 QKD983005 QTZ983005 RDV983005 RNR983005 RXN983005 SHJ983005 SRF983005 TBB983005 TKX983005 TUT983005 UEP983005 UOL983005 UYH983005 VID983005 VRZ983005 WBV983005 WLR983005 WVN983005 WMC983005 JM9 TI9 ADE9 ANA9 AWW9 BGS9 BQO9 CAK9 CKG9 CUC9 DDY9 DNU9 DXQ9 EHM9 ERI9 FBE9 FLA9 FUW9 GES9 GOO9 GYK9 HIG9 HSC9 IBY9 ILU9 IVQ9 JFM9 JPI9 JZE9 KJA9 KSW9 LCS9 LMO9 LWK9 MGG9 MQC9 MZY9 NJU9 NTQ9 ODM9 ONI9 OXE9 PHA9 PQW9 QAS9 QKO9 QUK9 REG9 ROC9 RXY9 SHU9 SRQ9 TBM9 TLI9 TVE9 UFA9 UOW9 UYS9 VIO9 VSK9 WCG9 WMC9 WVY9 Q65501 JM65501 TI65501 ADE65501 ANA65501 AWW65501 BGS65501 BQO65501 CAK65501 CKG65501 CUC65501 DDY65501 DNU65501 DXQ65501 EHM65501 ERI65501 FBE65501 FLA65501 FUW65501 GES65501 GOO65501 GYK65501 HIG65501 HSC65501 IBY65501 ILU65501 IVQ65501 JFM65501 JPI65501 JZE65501 KJA65501 KSW65501 LCS65501 LMO65501 LWK65501 MGG65501 MQC65501 MZY65501 NJU65501 NTQ65501 ODM65501 ONI65501 OXE65501 PHA65501 PQW65501 QAS65501 QKO65501 QUK65501 REG65501 ROC65501 RXY65501 SHU65501 SRQ65501 TBM65501 TLI65501 TVE65501 UFA65501 UOW65501 UYS65501 VIO65501 VSK65501 WCG65501 WMC65501 WVY65501 Q131037 JM131037 TI131037 ADE131037 ANA131037 AWW131037 BGS131037 BQO131037 CAK131037 CKG131037 CUC131037 DDY131037 DNU131037 DXQ131037 EHM131037 ERI131037 FBE131037 FLA131037 FUW131037 GES131037 GOO131037 GYK131037 HIG131037 HSC131037 IBY131037 ILU131037 IVQ131037 JFM131037 JPI131037 JZE131037 KJA131037 KSW131037 LCS131037 LMO131037 LWK131037 MGG131037 MQC131037 MZY131037 NJU131037 NTQ131037 ODM131037 ONI131037 OXE131037 PHA131037 PQW131037 QAS131037 QKO131037 QUK131037 REG131037 ROC131037 RXY131037 SHU131037 SRQ131037 TBM131037 TLI131037 TVE131037 UFA131037 UOW131037 UYS131037 VIO131037 VSK131037 WCG131037 WMC131037 WVY131037 Q196573 JM196573 TI196573 ADE196573 ANA196573 AWW196573 BGS196573 BQO196573 CAK196573 CKG196573 CUC196573 DDY196573 DNU196573 DXQ196573 EHM196573 ERI196573 FBE196573 FLA196573 FUW196573 GES196573 GOO196573 GYK196573 HIG196573 HSC196573 IBY196573 ILU196573 IVQ196573 JFM196573 JPI196573 JZE196573 KJA196573 KSW196573 LCS196573 LMO196573 LWK196573 MGG196573 MQC196573 MZY196573 NJU196573 NTQ196573 ODM196573 ONI196573 OXE196573 PHA196573 PQW196573 QAS196573 QKO196573 QUK196573 REG196573 ROC196573 RXY196573 SHU196573 SRQ196573 TBM196573 TLI196573 TVE196573 UFA196573 UOW196573 UYS196573 VIO196573 VSK196573 WCG196573 WMC196573 WVY196573 Q262109 JM262109 TI262109 ADE262109 ANA262109 AWW262109 BGS262109 BQO262109 CAK262109 CKG262109 CUC262109 DDY262109 DNU262109 DXQ262109 EHM262109 ERI262109 FBE262109 FLA262109 FUW262109 GES262109 GOO262109 GYK262109 HIG262109 HSC262109 IBY262109 ILU262109 IVQ262109 JFM262109 JPI262109 JZE262109 KJA262109 KSW262109 LCS262109 LMO262109 LWK262109 MGG262109 MQC262109 MZY262109 NJU262109 NTQ262109 ODM262109 ONI262109 OXE262109 PHA262109 PQW262109 QAS262109 QKO262109 QUK262109 REG262109 ROC262109 RXY262109 SHU262109 SRQ262109 TBM262109 TLI262109 TVE262109 UFA262109 UOW262109 UYS262109 VIO262109 VSK262109 WCG262109 WMC262109 WVY262109 Q327645 JM327645 TI327645 ADE327645 ANA327645 AWW327645 BGS327645 BQO327645 CAK327645 CKG327645 CUC327645 DDY327645 DNU327645 DXQ327645 EHM327645 ERI327645 FBE327645 FLA327645 FUW327645 GES327645 GOO327645 GYK327645 HIG327645 HSC327645 IBY327645 ILU327645 IVQ327645 JFM327645 JPI327645 JZE327645 KJA327645 KSW327645 LCS327645 LMO327645 LWK327645 MGG327645 MQC327645 MZY327645 NJU327645 NTQ327645 ODM327645 ONI327645 OXE327645 PHA327645 PQW327645 QAS327645 QKO327645 QUK327645 REG327645 ROC327645 RXY327645 SHU327645 SRQ327645 TBM327645 TLI327645 TVE327645 UFA327645 UOW327645 UYS327645 VIO327645 VSK327645 WCG327645 WMC327645 WVY327645 Q393181 JM393181 TI393181 ADE393181 ANA393181 AWW393181 BGS393181 BQO393181 CAK393181 CKG393181 CUC393181 DDY393181 DNU393181 DXQ393181 EHM393181 ERI393181 FBE393181 FLA393181 FUW393181 GES393181 GOO393181 GYK393181 HIG393181 HSC393181 IBY393181 ILU393181 IVQ393181 JFM393181 JPI393181 JZE393181 KJA393181 KSW393181 LCS393181 LMO393181 LWK393181 MGG393181 MQC393181 MZY393181 NJU393181 NTQ393181 ODM393181 ONI393181 OXE393181 PHA393181 PQW393181 QAS393181 QKO393181 QUK393181 REG393181 ROC393181 RXY393181 SHU393181 SRQ393181 TBM393181 TLI393181 TVE393181 UFA393181 UOW393181 UYS393181 VIO393181 VSK393181 WCG393181 WMC393181 WVY393181 Q458717 JM458717 TI458717 ADE458717 ANA458717 AWW458717 BGS458717 BQO458717 CAK458717 CKG458717 CUC458717 DDY458717 DNU458717 DXQ458717 EHM458717 ERI458717 FBE458717 FLA458717 FUW458717 GES458717 GOO458717 GYK458717 HIG458717 HSC458717 IBY458717 ILU458717 IVQ458717 JFM458717 JPI458717 JZE458717 KJA458717 KSW458717 LCS458717 LMO458717 LWK458717 MGG458717 MQC458717 MZY458717 NJU458717 NTQ458717 ODM458717 ONI458717 OXE458717 PHA458717 PQW458717 QAS458717 QKO458717 QUK458717 REG458717 ROC458717 RXY458717 SHU458717 SRQ458717 TBM458717 TLI458717 TVE458717 UFA458717 UOW458717 UYS458717 VIO458717 VSK458717 WCG458717 WMC458717 WVY458717 Q524253 JM524253 TI524253 ADE524253 ANA524253 AWW524253 BGS524253 BQO524253 CAK524253 CKG524253 CUC524253 DDY524253 DNU524253 DXQ524253 EHM524253 ERI524253 FBE524253 FLA524253 FUW524253 GES524253 GOO524253 GYK524253 HIG524253 HSC524253 IBY524253 ILU524253 IVQ524253 JFM524253 JPI524253 JZE524253 KJA524253 KSW524253 LCS524253 LMO524253 LWK524253 MGG524253 MQC524253 MZY524253 NJU524253 NTQ524253 ODM524253 ONI524253 OXE524253 PHA524253 PQW524253 QAS524253 QKO524253 QUK524253 REG524253 ROC524253 RXY524253 SHU524253 SRQ524253 TBM524253 TLI524253 TVE524253 UFA524253 UOW524253 UYS524253 VIO524253 VSK524253 WCG524253 WMC524253 WVY524253 Q589789 JM589789 TI589789 ADE589789 ANA589789 AWW589789 BGS589789 BQO589789 CAK589789 CKG589789 CUC589789 DDY589789 DNU589789 DXQ589789 EHM589789 ERI589789 FBE589789 FLA589789 FUW589789 GES589789 GOO589789 GYK589789 HIG589789 HSC589789 IBY589789 ILU589789 IVQ589789 JFM589789 JPI589789 JZE589789 KJA589789 KSW589789 LCS589789 LMO589789 LWK589789 MGG589789 MQC589789 MZY589789 NJU589789 NTQ589789 ODM589789 ONI589789 OXE589789 PHA589789 PQW589789 QAS589789 QKO589789 QUK589789 REG589789 ROC589789 RXY589789 SHU589789 SRQ589789 TBM589789 TLI589789 TVE589789 UFA589789 UOW589789 UYS589789 VIO589789 VSK589789 WCG589789 WMC589789 WVY589789 Q655325 JM655325 TI655325 ADE655325 ANA655325 AWW655325 BGS655325 BQO655325 CAK655325 CKG655325 CUC655325 DDY655325 DNU655325 DXQ655325 EHM655325 ERI655325 FBE655325 FLA655325 FUW655325 GES655325 GOO655325 GYK655325 HIG655325 HSC655325 IBY655325 ILU655325 IVQ655325 JFM655325 JPI655325 JZE655325 KJA655325 KSW655325 LCS655325 LMO655325 LWK655325 MGG655325 MQC655325 MZY655325 NJU655325 NTQ655325 ODM655325 ONI655325 OXE655325 PHA655325 PQW655325 QAS655325 QKO655325 QUK655325 REG655325 ROC655325 RXY655325 SHU655325 SRQ655325 TBM655325 TLI655325 TVE655325 UFA655325 UOW655325 UYS655325 VIO655325 VSK655325 WCG655325 WMC655325 WVY655325 Q720861 JM720861 TI720861 ADE720861 ANA720861 AWW720861 BGS720861 BQO720861 CAK720861 CKG720861 CUC720861 DDY720861 DNU720861 DXQ720861 EHM720861 ERI720861 FBE720861 FLA720861 FUW720861 GES720861 GOO720861 GYK720861 HIG720861 HSC720861 IBY720861 ILU720861 IVQ720861 JFM720861 JPI720861 JZE720861 KJA720861 KSW720861 LCS720861 LMO720861 LWK720861 MGG720861 MQC720861 MZY720861 NJU720861 NTQ720861 ODM720861 ONI720861 OXE720861 PHA720861 PQW720861 QAS720861 QKO720861 QUK720861 REG720861 ROC720861 RXY720861 SHU720861 SRQ720861 TBM720861 TLI720861 TVE720861 UFA720861 UOW720861 UYS720861 VIO720861 VSK720861 WCG720861 WMC720861 WVY720861 Q786397 JM786397 TI786397 ADE786397 ANA786397 AWW786397 BGS786397 BQO786397 CAK786397 CKG786397 CUC786397 DDY786397 DNU786397 DXQ786397 EHM786397 ERI786397 FBE786397 FLA786397 FUW786397 GES786397 GOO786397 GYK786397 HIG786397 HSC786397 IBY786397 ILU786397 IVQ786397 JFM786397 JPI786397 JZE786397 KJA786397 KSW786397 LCS786397 LMO786397 LWK786397 MGG786397 MQC786397 MZY786397 NJU786397 NTQ786397 ODM786397 ONI786397 OXE786397 PHA786397 PQW786397 QAS786397 QKO786397 QUK786397 REG786397 ROC786397 RXY786397 SHU786397 SRQ786397 TBM786397 TLI786397 TVE786397 UFA786397 UOW786397 UYS786397 VIO786397 VSK786397 WCG786397 WMC786397 WVY786397 Q851933 JM851933 TI851933 ADE851933 ANA851933 AWW851933 BGS851933 BQO851933 CAK851933 CKG851933 CUC851933 DDY851933 DNU851933 DXQ851933 EHM851933 ERI851933 FBE851933 FLA851933 FUW851933 GES851933 GOO851933 GYK851933 HIG851933 HSC851933 IBY851933 ILU851933 IVQ851933 JFM851933 JPI851933 JZE851933 KJA851933 KSW851933 LCS851933 LMO851933 LWK851933 MGG851933 MQC851933 MZY851933 NJU851933 NTQ851933 ODM851933 ONI851933 OXE851933 PHA851933 PQW851933 QAS851933 QKO851933 QUK851933 REG851933 ROC851933 RXY851933 SHU851933 SRQ851933 TBM851933 TLI851933 TVE851933 UFA851933 UOW851933 UYS851933 VIO851933 VSK851933 WCG851933 WMC851933 WVY851933 Q917469 JM917469 TI917469 ADE917469 ANA917469 AWW917469 BGS917469 BQO917469 CAK917469 CKG917469 CUC917469 DDY917469 DNU917469 DXQ917469 EHM917469 ERI917469 FBE917469 FLA917469 FUW917469 GES917469 GOO917469 GYK917469 HIG917469 HSC917469 IBY917469 ILU917469 IVQ917469 JFM917469 JPI917469 JZE917469 KJA917469 KSW917469 LCS917469 LMO917469 LWK917469 MGG917469 MQC917469 MZY917469 NJU917469 NTQ917469 ODM917469 ONI917469 OXE917469 PHA917469 PQW917469 QAS917469 QKO917469 QUK917469 REG917469 ROC917469 RXY917469 SHU917469 SRQ917469 TBM917469 TLI917469 TVE917469 UFA917469 UOW917469 UYS917469 VIO917469 VSK917469 WCG917469 WMC917469 WVY917469 Q983005 JM983005 TI983005 ADE983005 ANA983005 AWW983005 BGS983005 BQO983005 CAK983005 CKG983005 CUC983005 DDY983005 DNU983005 DXQ983005 EHM983005 ERI983005 FBE983005 FLA983005 FUW983005 GES983005 GOO983005 GYK983005 HIG983005 HSC983005 IBY983005 ILU983005 IVQ983005 JFM983005 JPI983005 JZE983005 KJA983005 KSW983005 LCS983005 LMO983005 LWK983005 MGG983005 MQC983005 MZY983005 NJU983005 NTQ983005 ODM983005 ONI983005 OXE983005 PHA983005 PQW983005 QAS983005 QKO983005 QUK983005 REG983005 ROC983005 RXY983005 SHU983005 SRQ983005 TBM983005 TLI983005 TVE983005 UFA983005 UOW983005 UYS983005 VIO983005 VSK983005 WCG983005" xr:uid="{00000000-0002-0000-0300-000002000000}">
      <formula1>"1,2"</formula1>
    </dataValidation>
    <dataValidation type="textLength" allowBlank="1" showInputMessage="1" showErrorMessage="1" errorTitle="「住所」欄" error="住所欄の文字数については３０文字以内です"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493 IY65493 SU65493 ACQ65493 AMM65493 AWI65493 BGE65493 BQA65493 BZW65493 CJS65493 CTO65493 DDK65493 DNG65493 DXC65493 EGY65493 EQU65493 FAQ65493 FKM65493 FUI65493 GEE65493 GOA65493 GXW65493 HHS65493 HRO65493 IBK65493 ILG65493 IVC65493 JEY65493 JOU65493 JYQ65493 KIM65493 KSI65493 LCE65493 LMA65493 LVW65493 MFS65493 MPO65493 MZK65493 NJG65493 NTC65493 OCY65493 OMU65493 OWQ65493 PGM65493 PQI65493 QAE65493 QKA65493 QTW65493 RDS65493 RNO65493 RXK65493 SHG65493 SRC65493 TAY65493 TKU65493 TUQ65493 UEM65493 UOI65493 UYE65493 VIA65493 VRW65493 WBS65493 WLO65493 WVK65493 C131029 IY131029 SU131029 ACQ131029 AMM131029 AWI131029 BGE131029 BQA131029 BZW131029 CJS131029 CTO131029 DDK131029 DNG131029 DXC131029 EGY131029 EQU131029 FAQ131029 FKM131029 FUI131029 GEE131029 GOA131029 GXW131029 HHS131029 HRO131029 IBK131029 ILG131029 IVC131029 JEY131029 JOU131029 JYQ131029 KIM131029 KSI131029 LCE131029 LMA131029 LVW131029 MFS131029 MPO131029 MZK131029 NJG131029 NTC131029 OCY131029 OMU131029 OWQ131029 PGM131029 PQI131029 QAE131029 QKA131029 QTW131029 RDS131029 RNO131029 RXK131029 SHG131029 SRC131029 TAY131029 TKU131029 TUQ131029 UEM131029 UOI131029 UYE131029 VIA131029 VRW131029 WBS131029 WLO131029 WVK131029 C196565 IY196565 SU196565 ACQ196565 AMM196565 AWI196565 BGE196565 BQA196565 BZW196565 CJS196565 CTO196565 DDK196565 DNG196565 DXC196565 EGY196565 EQU196565 FAQ196565 FKM196565 FUI196565 GEE196565 GOA196565 GXW196565 HHS196565 HRO196565 IBK196565 ILG196565 IVC196565 JEY196565 JOU196565 JYQ196565 KIM196565 KSI196565 LCE196565 LMA196565 LVW196565 MFS196565 MPO196565 MZK196565 NJG196565 NTC196565 OCY196565 OMU196565 OWQ196565 PGM196565 PQI196565 QAE196565 QKA196565 QTW196565 RDS196565 RNO196565 RXK196565 SHG196565 SRC196565 TAY196565 TKU196565 TUQ196565 UEM196565 UOI196565 UYE196565 VIA196565 VRW196565 WBS196565 WLO196565 WVK196565 C262101 IY262101 SU262101 ACQ262101 AMM262101 AWI262101 BGE262101 BQA262101 BZW262101 CJS262101 CTO262101 DDK262101 DNG262101 DXC262101 EGY262101 EQU262101 FAQ262101 FKM262101 FUI262101 GEE262101 GOA262101 GXW262101 HHS262101 HRO262101 IBK262101 ILG262101 IVC262101 JEY262101 JOU262101 JYQ262101 KIM262101 KSI262101 LCE262101 LMA262101 LVW262101 MFS262101 MPO262101 MZK262101 NJG262101 NTC262101 OCY262101 OMU262101 OWQ262101 PGM262101 PQI262101 QAE262101 QKA262101 QTW262101 RDS262101 RNO262101 RXK262101 SHG262101 SRC262101 TAY262101 TKU262101 TUQ262101 UEM262101 UOI262101 UYE262101 VIA262101 VRW262101 WBS262101 WLO262101 WVK262101 C327637 IY327637 SU327637 ACQ327637 AMM327637 AWI327637 BGE327637 BQA327637 BZW327637 CJS327637 CTO327637 DDK327637 DNG327637 DXC327637 EGY327637 EQU327637 FAQ327637 FKM327637 FUI327637 GEE327637 GOA327637 GXW327637 HHS327637 HRO327637 IBK327637 ILG327637 IVC327637 JEY327637 JOU327637 JYQ327637 KIM327637 KSI327637 LCE327637 LMA327637 LVW327637 MFS327637 MPO327637 MZK327637 NJG327637 NTC327637 OCY327637 OMU327637 OWQ327637 PGM327637 PQI327637 QAE327637 QKA327637 QTW327637 RDS327637 RNO327637 RXK327637 SHG327637 SRC327637 TAY327637 TKU327637 TUQ327637 UEM327637 UOI327637 UYE327637 VIA327637 VRW327637 WBS327637 WLO327637 WVK327637 C393173 IY393173 SU393173 ACQ393173 AMM393173 AWI393173 BGE393173 BQA393173 BZW393173 CJS393173 CTO393173 DDK393173 DNG393173 DXC393173 EGY393173 EQU393173 FAQ393173 FKM393173 FUI393173 GEE393173 GOA393173 GXW393173 HHS393173 HRO393173 IBK393173 ILG393173 IVC393173 JEY393173 JOU393173 JYQ393173 KIM393173 KSI393173 LCE393173 LMA393173 LVW393173 MFS393173 MPO393173 MZK393173 NJG393173 NTC393173 OCY393173 OMU393173 OWQ393173 PGM393173 PQI393173 QAE393173 QKA393173 QTW393173 RDS393173 RNO393173 RXK393173 SHG393173 SRC393173 TAY393173 TKU393173 TUQ393173 UEM393173 UOI393173 UYE393173 VIA393173 VRW393173 WBS393173 WLO393173 WVK393173 C458709 IY458709 SU458709 ACQ458709 AMM458709 AWI458709 BGE458709 BQA458709 BZW458709 CJS458709 CTO458709 DDK458709 DNG458709 DXC458709 EGY458709 EQU458709 FAQ458709 FKM458709 FUI458709 GEE458709 GOA458709 GXW458709 HHS458709 HRO458709 IBK458709 ILG458709 IVC458709 JEY458709 JOU458709 JYQ458709 KIM458709 KSI458709 LCE458709 LMA458709 LVW458709 MFS458709 MPO458709 MZK458709 NJG458709 NTC458709 OCY458709 OMU458709 OWQ458709 PGM458709 PQI458709 QAE458709 QKA458709 QTW458709 RDS458709 RNO458709 RXK458709 SHG458709 SRC458709 TAY458709 TKU458709 TUQ458709 UEM458709 UOI458709 UYE458709 VIA458709 VRW458709 WBS458709 WLO458709 WVK458709 C524245 IY524245 SU524245 ACQ524245 AMM524245 AWI524245 BGE524245 BQA524245 BZW524245 CJS524245 CTO524245 DDK524245 DNG524245 DXC524245 EGY524245 EQU524245 FAQ524245 FKM524245 FUI524245 GEE524245 GOA524245 GXW524245 HHS524245 HRO524245 IBK524245 ILG524245 IVC524245 JEY524245 JOU524245 JYQ524245 KIM524245 KSI524245 LCE524245 LMA524245 LVW524245 MFS524245 MPO524245 MZK524245 NJG524245 NTC524245 OCY524245 OMU524245 OWQ524245 PGM524245 PQI524245 QAE524245 QKA524245 QTW524245 RDS524245 RNO524245 RXK524245 SHG524245 SRC524245 TAY524245 TKU524245 TUQ524245 UEM524245 UOI524245 UYE524245 VIA524245 VRW524245 WBS524245 WLO524245 WVK524245 C589781 IY589781 SU589781 ACQ589781 AMM589781 AWI589781 BGE589781 BQA589781 BZW589781 CJS589781 CTO589781 DDK589781 DNG589781 DXC589781 EGY589781 EQU589781 FAQ589781 FKM589781 FUI589781 GEE589781 GOA589781 GXW589781 HHS589781 HRO589781 IBK589781 ILG589781 IVC589781 JEY589781 JOU589781 JYQ589781 KIM589781 KSI589781 LCE589781 LMA589781 LVW589781 MFS589781 MPO589781 MZK589781 NJG589781 NTC589781 OCY589781 OMU589781 OWQ589781 PGM589781 PQI589781 QAE589781 QKA589781 QTW589781 RDS589781 RNO589781 RXK589781 SHG589781 SRC589781 TAY589781 TKU589781 TUQ589781 UEM589781 UOI589781 UYE589781 VIA589781 VRW589781 WBS589781 WLO589781 WVK589781 C655317 IY655317 SU655317 ACQ655317 AMM655317 AWI655317 BGE655317 BQA655317 BZW655317 CJS655317 CTO655317 DDK655317 DNG655317 DXC655317 EGY655317 EQU655317 FAQ655317 FKM655317 FUI655317 GEE655317 GOA655317 GXW655317 HHS655317 HRO655317 IBK655317 ILG655317 IVC655317 JEY655317 JOU655317 JYQ655317 KIM655317 KSI655317 LCE655317 LMA655317 LVW655317 MFS655317 MPO655317 MZK655317 NJG655317 NTC655317 OCY655317 OMU655317 OWQ655317 PGM655317 PQI655317 QAE655317 QKA655317 QTW655317 RDS655317 RNO655317 RXK655317 SHG655317 SRC655317 TAY655317 TKU655317 TUQ655317 UEM655317 UOI655317 UYE655317 VIA655317 VRW655317 WBS655317 WLO655317 WVK655317 C720853 IY720853 SU720853 ACQ720853 AMM720853 AWI720853 BGE720853 BQA720853 BZW720853 CJS720853 CTO720853 DDK720853 DNG720853 DXC720853 EGY720853 EQU720853 FAQ720853 FKM720853 FUI720853 GEE720853 GOA720853 GXW720853 HHS720853 HRO720853 IBK720853 ILG720853 IVC720853 JEY720853 JOU720853 JYQ720853 KIM720853 KSI720853 LCE720853 LMA720853 LVW720853 MFS720853 MPO720853 MZK720853 NJG720853 NTC720853 OCY720853 OMU720853 OWQ720853 PGM720853 PQI720853 QAE720853 QKA720853 QTW720853 RDS720853 RNO720853 RXK720853 SHG720853 SRC720853 TAY720853 TKU720853 TUQ720853 UEM720853 UOI720853 UYE720853 VIA720853 VRW720853 WBS720853 WLO720853 WVK720853 C786389 IY786389 SU786389 ACQ786389 AMM786389 AWI786389 BGE786389 BQA786389 BZW786389 CJS786389 CTO786389 DDK786389 DNG786389 DXC786389 EGY786389 EQU786389 FAQ786389 FKM786389 FUI786389 GEE786389 GOA786389 GXW786389 HHS786389 HRO786389 IBK786389 ILG786389 IVC786389 JEY786389 JOU786389 JYQ786389 KIM786389 KSI786389 LCE786389 LMA786389 LVW786389 MFS786389 MPO786389 MZK786389 NJG786389 NTC786389 OCY786389 OMU786389 OWQ786389 PGM786389 PQI786389 QAE786389 QKA786389 QTW786389 RDS786389 RNO786389 RXK786389 SHG786389 SRC786389 TAY786389 TKU786389 TUQ786389 UEM786389 UOI786389 UYE786389 VIA786389 VRW786389 WBS786389 WLO786389 WVK786389 C851925 IY851925 SU851925 ACQ851925 AMM851925 AWI851925 BGE851925 BQA851925 BZW851925 CJS851925 CTO851925 DDK851925 DNG851925 DXC851925 EGY851925 EQU851925 FAQ851925 FKM851925 FUI851925 GEE851925 GOA851925 GXW851925 HHS851925 HRO851925 IBK851925 ILG851925 IVC851925 JEY851925 JOU851925 JYQ851925 KIM851925 KSI851925 LCE851925 LMA851925 LVW851925 MFS851925 MPO851925 MZK851925 NJG851925 NTC851925 OCY851925 OMU851925 OWQ851925 PGM851925 PQI851925 QAE851925 QKA851925 QTW851925 RDS851925 RNO851925 RXK851925 SHG851925 SRC851925 TAY851925 TKU851925 TUQ851925 UEM851925 UOI851925 UYE851925 VIA851925 VRW851925 WBS851925 WLO851925 WVK851925 C917461 IY917461 SU917461 ACQ917461 AMM917461 AWI917461 BGE917461 BQA917461 BZW917461 CJS917461 CTO917461 DDK917461 DNG917461 DXC917461 EGY917461 EQU917461 FAQ917461 FKM917461 FUI917461 GEE917461 GOA917461 GXW917461 HHS917461 HRO917461 IBK917461 ILG917461 IVC917461 JEY917461 JOU917461 JYQ917461 KIM917461 KSI917461 LCE917461 LMA917461 LVW917461 MFS917461 MPO917461 MZK917461 NJG917461 NTC917461 OCY917461 OMU917461 OWQ917461 PGM917461 PQI917461 QAE917461 QKA917461 QTW917461 RDS917461 RNO917461 RXK917461 SHG917461 SRC917461 TAY917461 TKU917461 TUQ917461 UEM917461 UOI917461 UYE917461 VIA917461 VRW917461 WBS917461 WLO917461 WVK917461 C982997 IY982997 SU982997 ACQ982997 AMM982997 AWI982997 BGE982997 BQA982997 BZW982997 CJS982997 CTO982997 DDK982997 DNG982997 DXC982997 EGY982997 EQU982997 FAQ982997 FKM982997 FUI982997 GEE982997 GOA982997 GXW982997 HHS982997 HRO982997 IBK982997 ILG982997 IVC982997 JEY982997 JOU982997 JYQ982997 KIM982997 KSI982997 LCE982997 LMA982997 LVW982997 MFS982997 MPO982997 MZK982997 NJG982997 NTC982997 OCY982997 OMU982997 OWQ982997 PGM982997 PQI982997 QAE982997 QKA982997 QTW982997 RDS982997 RNO982997 RXK982997 SHG982997 SRC982997 TAY982997 TKU982997 TUQ982997 UEM982997 UOI982997 UYE982997 VIA982997 VRW982997 WBS982997 WLO982997 WVK982997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493 JI65493 TE65493 ADA65493 AMW65493 AWS65493 BGO65493 BQK65493 CAG65493 CKC65493 CTY65493 DDU65493 DNQ65493 DXM65493 EHI65493 ERE65493 FBA65493 FKW65493 FUS65493 GEO65493 GOK65493 GYG65493 HIC65493 HRY65493 IBU65493 ILQ65493 IVM65493 JFI65493 JPE65493 JZA65493 KIW65493 KSS65493 LCO65493 LMK65493 LWG65493 MGC65493 MPY65493 MZU65493 NJQ65493 NTM65493 ODI65493 ONE65493 OXA65493 PGW65493 PQS65493 QAO65493 QKK65493 QUG65493 REC65493 RNY65493 RXU65493 SHQ65493 SRM65493 TBI65493 TLE65493 TVA65493 UEW65493 UOS65493 UYO65493 VIK65493 VSG65493 WCC65493 WLY65493 WVU65493 M131029 JI131029 TE131029 ADA131029 AMW131029 AWS131029 BGO131029 BQK131029 CAG131029 CKC131029 CTY131029 DDU131029 DNQ131029 DXM131029 EHI131029 ERE131029 FBA131029 FKW131029 FUS131029 GEO131029 GOK131029 GYG131029 HIC131029 HRY131029 IBU131029 ILQ131029 IVM131029 JFI131029 JPE131029 JZA131029 KIW131029 KSS131029 LCO131029 LMK131029 LWG131029 MGC131029 MPY131029 MZU131029 NJQ131029 NTM131029 ODI131029 ONE131029 OXA131029 PGW131029 PQS131029 QAO131029 QKK131029 QUG131029 REC131029 RNY131029 RXU131029 SHQ131029 SRM131029 TBI131029 TLE131029 TVA131029 UEW131029 UOS131029 UYO131029 VIK131029 VSG131029 WCC131029 WLY131029 WVU131029 M196565 JI196565 TE196565 ADA196565 AMW196565 AWS196565 BGO196565 BQK196565 CAG196565 CKC196565 CTY196565 DDU196565 DNQ196565 DXM196565 EHI196565 ERE196565 FBA196565 FKW196565 FUS196565 GEO196565 GOK196565 GYG196565 HIC196565 HRY196565 IBU196565 ILQ196565 IVM196565 JFI196565 JPE196565 JZA196565 KIW196565 KSS196565 LCO196565 LMK196565 LWG196565 MGC196565 MPY196565 MZU196565 NJQ196565 NTM196565 ODI196565 ONE196565 OXA196565 PGW196565 PQS196565 QAO196565 QKK196565 QUG196565 REC196565 RNY196565 RXU196565 SHQ196565 SRM196565 TBI196565 TLE196565 TVA196565 UEW196565 UOS196565 UYO196565 VIK196565 VSG196565 WCC196565 WLY196565 WVU196565 M262101 JI262101 TE262101 ADA262101 AMW262101 AWS262101 BGO262101 BQK262101 CAG262101 CKC262101 CTY262101 DDU262101 DNQ262101 DXM262101 EHI262101 ERE262101 FBA262101 FKW262101 FUS262101 GEO262101 GOK262101 GYG262101 HIC262101 HRY262101 IBU262101 ILQ262101 IVM262101 JFI262101 JPE262101 JZA262101 KIW262101 KSS262101 LCO262101 LMK262101 LWG262101 MGC262101 MPY262101 MZU262101 NJQ262101 NTM262101 ODI262101 ONE262101 OXA262101 PGW262101 PQS262101 QAO262101 QKK262101 QUG262101 REC262101 RNY262101 RXU262101 SHQ262101 SRM262101 TBI262101 TLE262101 TVA262101 UEW262101 UOS262101 UYO262101 VIK262101 VSG262101 WCC262101 WLY262101 WVU262101 M327637 JI327637 TE327637 ADA327637 AMW327637 AWS327637 BGO327637 BQK327637 CAG327637 CKC327637 CTY327637 DDU327637 DNQ327637 DXM327637 EHI327637 ERE327637 FBA327637 FKW327637 FUS327637 GEO327637 GOK327637 GYG327637 HIC327637 HRY327637 IBU327637 ILQ327637 IVM327637 JFI327637 JPE327637 JZA327637 KIW327637 KSS327637 LCO327637 LMK327637 LWG327637 MGC327637 MPY327637 MZU327637 NJQ327637 NTM327637 ODI327637 ONE327637 OXA327637 PGW327637 PQS327637 QAO327637 QKK327637 QUG327637 REC327637 RNY327637 RXU327637 SHQ327637 SRM327637 TBI327637 TLE327637 TVA327637 UEW327637 UOS327637 UYO327637 VIK327637 VSG327637 WCC327637 WLY327637 WVU327637 M393173 JI393173 TE393173 ADA393173 AMW393173 AWS393173 BGO393173 BQK393173 CAG393173 CKC393173 CTY393173 DDU393173 DNQ393173 DXM393173 EHI393173 ERE393173 FBA393173 FKW393173 FUS393173 GEO393173 GOK393173 GYG393173 HIC393173 HRY393173 IBU393173 ILQ393173 IVM393173 JFI393173 JPE393173 JZA393173 KIW393173 KSS393173 LCO393173 LMK393173 LWG393173 MGC393173 MPY393173 MZU393173 NJQ393173 NTM393173 ODI393173 ONE393173 OXA393173 PGW393173 PQS393173 QAO393173 QKK393173 QUG393173 REC393173 RNY393173 RXU393173 SHQ393173 SRM393173 TBI393173 TLE393173 TVA393173 UEW393173 UOS393173 UYO393173 VIK393173 VSG393173 WCC393173 WLY393173 WVU393173 M458709 JI458709 TE458709 ADA458709 AMW458709 AWS458709 BGO458709 BQK458709 CAG458709 CKC458709 CTY458709 DDU458709 DNQ458709 DXM458709 EHI458709 ERE458709 FBA458709 FKW458709 FUS458709 GEO458709 GOK458709 GYG458709 HIC458709 HRY458709 IBU458709 ILQ458709 IVM458709 JFI458709 JPE458709 JZA458709 KIW458709 KSS458709 LCO458709 LMK458709 LWG458709 MGC458709 MPY458709 MZU458709 NJQ458709 NTM458709 ODI458709 ONE458709 OXA458709 PGW458709 PQS458709 QAO458709 QKK458709 QUG458709 REC458709 RNY458709 RXU458709 SHQ458709 SRM458709 TBI458709 TLE458709 TVA458709 UEW458709 UOS458709 UYO458709 VIK458709 VSG458709 WCC458709 WLY458709 WVU458709 M524245 JI524245 TE524245 ADA524245 AMW524245 AWS524245 BGO524245 BQK524245 CAG524245 CKC524245 CTY524245 DDU524245 DNQ524245 DXM524245 EHI524245 ERE524245 FBA524245 FKW524245 FUS524245 GEO524245 GOK524245 GYG524245 HIC524245 HRY524245 IBU524245 ILQ524245 IVM524245 JFI524245 JPE524245 JZA524245 KIW524245 KSS524245 LCO524245 LMK524245 LWG524245 MGC524245 MPY524245 MZU524245 NJQ524245 NTM524245 ODI524245 ONE524245 OXA524245 PGW524245 PQS524245 QAO524245 QKK524245 QUG524245 REC524245 RNY524245 RXU524245 SHQ524245 SRM524245 TBI524245 TLE524245 TVA524245 UEW524245 UOS524245 UYO524245 VIK524245 VSG524245 WCC524245 WLY524245 WVU524245 M589781 JI589781 TE589781 ADA589781 AMW589781 AWS589781 BGO589781 BQK589781 CAG589781 CKC589781 CTY589781 DDU589781 DNQ589781 DXM589781 EHI589781 ERE589781 FBA589781 FKW589781 FUS589781 GEO589781 GOK589781 GYG589781 HIC589781 HRY589781 IBU589781 ILQ589781 IVM589781 JFI589781 JPE589781 JZA589781 KIW589781 KSS589781 LCO589781 LMK589781 LWG589781 MGC589781 MPY589781 MZU589781 NJQ589781 NTM589781 ODI589781 ONE589781 OXA589781 PGW589781 PQS589781 QAO589781 QKK589781 QUG589781 REC589781 RNY589781 RXU589781 SHQ589781 SRM589781 TBI589781 TLE589781 TVA589781 UEW589781 UOS589781 UYO589781 VIK589781 VSG589781 WCC589781 WLY589781 WVU589781 M655317 JI655317 TE655317 ADA655317 AMW655317 AWS655317 BGO655317 BQK655317 CAG655317 CKC655317 CTY655317 DDU655317 DNQ655317 DXM655317 EHI655317 ERE655317 FBA655317 FKW655317 FUS655317 GEO655317 GOK655317 GYG655317 HIC655317 HRY655317 IBU655317 ILQ655317 IVM655317 JFI655317 JPE655317 JZA655317 KIW655317 KSS655317 LCO655317 LMK655317 LWG655317 MGC655317 MPY655317 MZU655317 NJQ655317 NTM655317 ODI655317 ONE655317 OXA655317 PGW655317 PQS655317 QAO655317 QKK655317 QUG655317 REC655317 RNY655317 RXU655317 SHQ655317 SRM655317 TBI655317 TLE655317 TVA655317 UEW655317 UOS655317 UYO655317 VIK655317 VSG655317 WCC655317 WLY655317 WVU655317 M720853 JI720853 TE720853 ADA720853 AMW720853 AWS720853 BGO720853 BQK720853 CAG720853 CKC720853 CTY720853 DDU720853 DNQ720853 DXM720853 EHI720853 ERE720853 FBA720853 FKW720853 FUS720853 GEO720853 GOK720853 GYG720853 HIC720853 HRY720853 IBU720853 ILQ720853 IVM720853 JFI720853 JPE720853 JZA720853 KIW720853 KSS720853 LCO720853 LMK720853 LWG720853 MGC720853 MPY720853 MZU720853 NJQ720853 NTM720853 ODI720853 ONE720853 OXA720853 PGW720853 PQS720853 QAO720853 QKK720853 QUG720853 REC720853 RNY720853 RXU720853 SHQ720853 SRM720853 TBI720853 TLE720853 TVA720853 UEW720853 UOS720853 UYO720853 VIK720853 VSG720853 WCC720853 WLY720853 WVU720853 M786389 JI786389 TE786389 ADA786389 AMW786389 AWS786389 BGO786389 BQK786389 CAG786389 CKC786389 CTY786389 DDU786389 DNQ786389 DXM786389 EHI786389 ERE786389 FBA786389 FKW786389 FUS786389 GEO786389 GOK786389 GYG786389 HIC786389 HRY786389 IBU786389 ILQ786389 IVM786389 JFI786389 JPE786389 JZA786389 KIW786389 KSS786389 LCO786389 LMK786389 LWG786389 MGC786389 MPY786389 MZU786389 NJQ786389 NTM786389 ODI786389 ONE786389 OXA786389 PGW786389 PQS786389 QAO786389 QKK786389 QUG786389 REC786389 RNY786389 RXU786389 SHQ786389 SRM786389 TBI786389 TLE786389 TVA786389 UEW786389 UOS786389 UYO786389 VIK786389 VSG786389 WCC786389 WLY786389 WVU786389 M851925 JI851925 TE851925 ADA851925 AMW851925 AWS851925 BGO851925 BQK851925 CAG851925 CKC851925 CTY851925 DDU851925 DNQ851925 DXM851925 EHI851925 ERE851925 FBA851925 FKW851925 FUS851925 GEO851925 GOK851925 GYG851925 HIC851925 HRY851925 IBU851925 ILQ851925 IVM851925 JFI851925 JPE851925 JZA851925 KIW851925 KSS851925 LCO851925 LMK851925 LWG851925 MGC851925 MPY851925 MZU851925 NJQ851925 NTM851925 ODI851925 ONE851925 OXA851925 PGW851925 PQS851925 QAO851925 QKK851925 QUG851925 REC851925 RNY851925 RXU851925 SHQ851925 SRM851925 TBI851925 TLE851925 TVA851925 UEW851925 UOS851925 UYO851925 VIK851925 VSG851925 WCC851925 WLY851925 WVU851925 M917461 JI917461 TE917461 ADA917461 AMW917461 AWS917461 BGO917461 BQK917461 CAG917461 CKC917461 CTY917461 DDU917461 DNQ917461 DXM917461 EHI917461 ERE917461 FBA917461 FKW917461 FUS917461 GEO917461 GOK917461 GYG917461 HIC917461 HRY917461 IBU917461 ILQ917461 IVM917461 JFI917461 JPE917461 JZA917461 KIW917461 KSS917461 LCO917461 LMK917461 LWG917461 MGC917461 MPY917461 MZU917461 NJQ917461 NTM917461 ODI917461 ONE917461 OXA917461 PGW917461 PQS917461 QAO917461 QKK917461 QUG917461 REC917461 RNY917461 RXU917461 SHQ917461 SRM917461 TBI917461 TLE917461 TVA917461 UEW917461 UOS917461 UYO917461 VIK917461 VSG917461 WCC917461 WLY917461 WVU917461 M982997 JI982997 TE982997 ADA982997 AMW982997 AWS982997 BGO982997 BQK982997 CAG982997 CKC982997 CTY982997 DDU982997 DNQ982997 DXM982997 EHI982997 ERE982997 FBA982997 FKW982997 FUS982997 GEO982997 GOK982997 GYG982997 HIC982997 HRY982997 IBU982997 ILQ982997 IVM982997 JFI982997 JPE982997 JZA982997 KIW982997 KSS982997 LCO982997 LMK982997 LWG982997 MGC982997 MPY982997 MZU982997 NJQ982997 NTM982997 ODI982997 ONE982997 OXA982997 PGW982997 PQS982997 QAO982997 QKK982997 QUG982997 REC982997 RNY982997 RXU982997 SHQ982997 SRM982997 TBI982997 TLE982997 TVA982997 UEW982997 UOS982997 UYO982997 VIK982997 VSG982997 WCC982997 WLY982997 WVU982997" xr:uid="{00000000-0002-0000-0300-000003000000}">
      <formula1>0</formula1>
      <formula2>30</formula2>
    </dataValidation>
    <dataValidation type="textLength" allowBlank="1" showInputMessage="1" showErrorMessage="1" errorTitle="「会社名」欄" error="会社名の入力文字数は２０文字以内です" sqref="C5:K5 IY5:JG5 SU5:TC5 ACQ5:ACY5 AMM5:AMU5 AWI5:AWQ5 BGE5:BGM5 BQA5:BQI5 BZW5:CAE5 CJS5:CKA5 CTO5:CTW5 DDK5:DDS5 DNG5:DNO5 DXC5:DXK5 EGY5:EHG5 EQU5:ERC5 FAQ5:FAY5 FKM5:FKU5 FUI5:FUQ5 GEE5:GEM5 GOA5:GOI5 GXW5:GYE5 HHS5:HIA5 HRO5:HRW5 IBK5:IBS5 ILG5:ILO5 IVC5:IVK5 JEY5:JFG5 JOU5:JPC5 JYQ5:JYY5 KIM5:KIU5 KSI5:KSQ5 LCE5:LCM5 LMA5:LMI5 LVW5:LWE5 MFS5:MGA5 MPO5:MPW5 MZK5:MZS5 NJG5:NJO5 NTC5:NTK5 OCY5:ODG5 OMU5:ONC5 OWQ5:OWY5 PGM5:PGU5 PQI5:PQQ5 QAE5:QAM5 QKA5:QKI5 QTW5:QUE5 RDS5:REA5 RNO5:RNW5 RXK5:RXS5 SHG5:SHO5 SRC5:SRK5 TAY5:TBG5 TKU5:TLC5 TUQ5:TUY5 UEM5:UEU5 UOI5:UOQ5 UYE5:UYM5 VIA5:VII5 VRW5:VSE5 WBS5:WCA5 WLO5:WLW5 WVK5:WVS5 C65492:K65492 IY65492:JG65492 SU65492:TC65492 ACQ65492:ACY65492 AMM65492:AMU65492 AWI65492:AWQ65492 BGE65492:BGM65492 BQA65492:BQI65492 BZW65492:CAE65492 CJS65492:CKA65492 CTO65492:CTW65492 DDK65492:DDS65492 DNG65492:DNO65492 DXC65492:DXK65492 EGY65492:EHG65492 EQU65492:ERC65492 FAQ65492:FAY65492 FKM65492:FKU65492 FUI65492:FUQ65492 GEE65492:GEM65492 GOA65492:GOI65492 GXW65492:GYE65492 HHS65492:HIA65492 HRO65492:HRW65492 IBK65492:IBS65492 ILG65492:ILO65492 IVC65492:IVK65492 JEY65492:JFG65492 JOU65492:JPC65492 JYQ65492:JYY65492 KIM65492:KIU65492 KSI65492:KSQ65492 LCE65492:LCM65492 LMA65492:LMI65492 LVW65492:LWE65492 MFS65492:MGA65492 MPO65492:MPW65492 MZK65492:MZS65492 NJG65492:NJO65492 NTC65492:NTK65492 OCY65492:ODG65492 OMU65492:ONC65492 OWQ65492:OWY65492 PGM65492:PGU65492 PQI65492:PQQ65492 QAE65492:QAM65492 QKA65492:QKI65492 QTW65492:QUE65492 RDS65492:REA65492 RNO65492:RNW65492 RXK65492:RXS65492 SHG65492:SHO65492 SRC65492:SRK65492 TAY65492:TBG65492 TKU65492:TLC65492 TUQ65492:TUY65492 UEM65492:UEU65492 UOI65492:UOQ65492 UYE65492:UYM65492 VIA65492:VII65492 VRW65492:VSE65492 WBS65492:WCA65492 WLO65492:WLW65492 WVK65492:WVS65492 C131028:K131028 IY131028:JG131028 SU131028:TC131028 ACQ131028:ACY131028 AMM131028:AMU131028 AWI131028:AWQ131028 BGE131028:BGM131028 BQA131028:BQI131028 BZW131028:CAE131028 CJS131028:CKA131028 CTO131028:CTW131028 DDK131028:DDS131028 DNG131028:DNO131028 DXC131028:DXK131028 EGY131028:EHG131028 EQU131028:ERC131028 FAQ131028:FAY131028 FKM131028:FKU131028 FUI131028:FUQ131028 GEE131028:GEM131028 GOA131028:GOI131028 GXW131028:GYE131028 HHS131028:HIA131028 HRO131028:HRW131028 IBK131028:IBS131028 ILG131028:ILO131028 IVC131028:IVK131028 JEY131028:JFG131028 JOU131028:JPC131028 JYQ131028:JYY131028 KIM131028:KIU131028 KSI131028:KSQ131028 LCE131028:LCM131028 LMA131028:LMI131028 LVW131028:LWE131028 MFS131028:MGA131028 MPO131028:MPW131028 MZK131028:MZS131028 NJG131028:NJO131028 NTC131028:NTK131028 OCY131028:ODG131028 OMU131028:ONC131028 OWQ131028:OWY131028 PGM131028:PGU131028 PQI131028:PQQ131028 QAE131028:QAM131028 QKA131028:QKI131028 QTW131028:QUE131028 RDS131028:REA131028 RNO131028:RNW131028 RXK131028:RXS131028 SHG131028:SHO131028 SRC131028:SRK131028 TAY131028:TBG131028 TKU131028:TLC131028 TUQ131028:TUY131028 UEM131028:UEU131028 UOI131028:UOQ131028 UYE131028:UYM131028 VIA131028:VII131028 VRW131028:VSE131028 WBS131028:WCA131028 WLO131028:WLW131028 WVK131028:WVS131028 C196564:K196564 IY196564:JG196564 SU196564:TC196564 ACQ196564:ACY196564 AMM196564:AMU196564 AWI196564:AWQ196564 BGE196564:BGM196564 BQA196564:BQI196564 BZW196564:CAE196564 CJS196564:CKA196564 CTO196564:CTW196564 DDK196564:DDS196564 DNG196564:DNO196564 DXC196564:DXK196564 EGY196564:EHG196564 EQU196564:ERC196564 FAQ196564:FAY196564 FKM196564:FKU196564 FUI196564:FUQ196564 GEE196564:GEM196564 GOA196564:GOI196564 GXW196564:GYE196564 HHS196564:HIA196564 HRO196564:HRW196564 IBK196564:IBS196564 ILG196564:ILO196564 IVC196564:IVK196564 JEY196564:JFG196564 JOU196564:JPC196564 JYQ196564:JYY196564 KIM196564:KIU196564 KSI196564:KSQ196564 LCE196564:LCM196564 LMA196564:LMI196564 LVW196564:LWE196564 MFS196564:MGA196564 MPO196564:MPW196564 MZK196564:MZS196564 NJG196564:NJO196564 NTC196564:NTK196564 OCY196564:ODG196564 OMU196564:ONC196564 OWQ196564:OWY196564 PGM196564:PGU196564 PQI196564:PQQ196564 QAE196564:QAM196564 QKA196564:QKI196564 QTW196564:QUE196564 RDS196564:REA196564 RNO196564:RNW196564 RXK196564:RXS196564 SHG196564:SHO196564 SRC196564:SRK196564 TAY196564:TBG196564 TKU196564:TLC196564 TUQ196564:TUY196564 UEM196564:UEU196564 UOI196564:UOQ196564 UYE196564:UYM196564 VIA196564:VII196564 VRW196564:VSE196564 WBS196564:WCA196564 WLO196564:WLW196564 WVK196564:WVS196564 C262100:K262100 IY262100:JG262100 SU262100:TC262100 ACQ262100:ACY262100 AMM262100:AMU262100 AWI262100:AWQ262100 BGE262100:BGM262100 BQA262100:BQI262100 BZW262100:CAE262100 CJS262100:CKA262100 CTO262100:CTW262100 DDK262100:DDS262100 DNG262100:DNO262100 DXC262100:DXK262100 EGY262100:EHG262100 EQU262100:ERC262100 FAQ262100:FAY262100 FKM262100:FKU262100 FUI262100:FUQ262100 GEE262100:GEM262100 GOA262100:GOI262100 GXW262100:GYE262100 HHS262100:HIA262100 HRO262100:HRW262100 IBK262100:IBS262100 ILG262100:ILO262100 IVC262100:IVK262100 JEY262100:JFG262100 JOU262100:JPC262100 JYQ262100:JYY262100 KIM262100:KIU262100 KSI262100:KSQ262100 LCE262100:LCM262100 LMA262100:LMI262100 LVW262100:LWE262100 MFS262100:MGA262100 MPO262100:MPW262100 MZK262100:MZS262100 NJG262100:NJO262100 NTC262100:NTK262100 OCY262100:ODG262100 OMU262100:ONC262100 OWQ262100:OWY262100 PGM262100:PGU262100 PQI262100:PQQ262100 QAE262100:QAM262100 QKA262100:QKI262100 QTW262100:QUE262100 RDS262100:REA262100 RNO262100:RNW262100 RXK262100:RXS262100 SHG262100:SHO262100 SRC262100:SRK262100 TAY262100:TBG262100 TKU262100:TLC262100 TUQ262100:TUY262100 UEM262100:UEU262100 UOI262100:UOQ262100 UYE262100:UYM262100 VIA262100:VII262100 VRW262100:VSE262100 WBS262100:WCA262100 WLO262100:WLW262100 WVK262100:WVS262100 C327636:K327636 IY327636:JG327636 SU327636:TC327636 ACQ327636:ACY327636 AMM327636:AMU327636 AWI327636:AWQ327636 BGE327636:BGM327636 BQA327636:BQI327636 BZW327636:CAE327636 CJS327636:CKA327636 CTO327636:CTW327636 DDK327636:DDS327636 DNG327636:DNO327636 DXC327636:DXK327636 EGY327636:EHG327636 EQU327636:ERC327636 FAQ327636:FAY327636 FKM327636:FKU327636 FUI327636:FUQ327636 GEE327636:GEM327636 GOA327636:GOI327636 GXW327636:GYE327636 HHS327636:HIA327636 HRO327636:HRW327636 IBK327636:IBS327636 ILG327636:ILO327636 IVC327636:IVK327636 JEY327636:JFG327636 JOU327636:JPC327636 JYQ327636:JYY327636 KIM327636:KIU327636 KSI327636:KSQ327636 LCE327636:LCM327636 LMA327636:LMI327636 LVW327636:LWE327636 MFS327636:MGA327636 MPO327636:MPW327636 MZK327636:MZS327636 NJG327636:NJO327636 NTC327636:NTK327636 OCY327636:ODG327636 OMU327636:ONC327636 OWQ327636:OWY327636 PGM327636:PGU327636 PQI327636:PQQ327636 QAE327636:QAM327636 QKA327636:QKI327636 QTW327636:QUE327636 RDS327636:REA327636 RNO327636:RNW327636 RXK327636:RXS327636 SHG327636:SHO327636 SRC327636:SRK327636 TAY327636:TBG327636 TKU327636:TLC327636 TUQ327636:TUY327636 UEM327636:UEU327636 UOI327636:UOQ327636 UYE327636:UYM327636 VIA327636:VII327636 VRW327636:VSE327636 WBS327636:WCA327636 WLO327636:WLW327636 WVK327636:WVS327636 C393172:K393172 IY393172:JG393172 SU393172:TC393172 ACQ393172:ACY393172 AMM393172:AMU393172 AWI393172:AWQ393172 BGE393172:BGM393172 BQA393172:BQI393172 BZW393172:CAE393172 CJS393172:CKA393172 CTO393172:CTW393172 DDK393172:DDS393172 DNG393172:DNO393172 DXC393172:DXK393172 EGY393172:EHG393172 EQU393172:ERC393172 FAQ393172:FAY393172 FKM393172:FKU393172 FUI393172:FUQ393172 GEE393172:GEM393172 GOA393172:GOI393172 GXW393172:GYE393172 HHS393172:HIA393172 HRO393172:HRW393172 IBK393172:IBS393172 ILG393172:ILO393172 IVC393172:IVK393172 JEY393172:JFG393172 JOU393172:JPC393172 JYQ393172:JYY393172 KIM393172:KIU393172 KSI393172:KSQ393172 LCE393172:LCM393172 LMA393172:LMI393172 LVW393172:LWE393172 MFS393172:MGA393172 MPO393172:MPW393172 MZK393172:MZS393172 NJG393172:NJO393172 NTC393172:NTK393172 OCY393172:ODG393172 OMU393172:ONC393172 OWQ393172:OWY393172 PGM393172:PGU393172 PQI393172:PQQ393172 QAE393172:QAM393172 QKA393172:QKI393172 QTW393172:QUE393172 RDS393172:REA393172 RNO393172:RNW393172 RXK393172:RXS393172 SHG393172:SHO393172 SRC393172:SRK393172 TAY393172:TBG393172 TKU393172:TLC393172 TUQ393172:TUY393172 UEM393172:UEU393172 UOI393172:UOQ393172 UYE393172:UYM393172 VIA393172:VII393172 VRW393172:VSE393172 WBS393172:WCA393172 WLO393172:WLW393172 WVK393172:WVS393172 C458708:K458708 IY458708:JG458708 SU458708:TC458708 ACQ458708:ACY458708 AMM458708:AMU458708 AWI458708:AWQ458708 BGE458708:BGM458708 BQA458708:BQI458708 BZW458708:CAE458708 CJS458708:CKA458708 CTO458708:CTW458708 DDK458708:DDS458708 DNG458708:DNO458708 DXC458708:DXK458708 EGY458708:EHG458708 EQU458708:ERC458708 FAQ458708:FAY458708 FKM458708:FKU458708 FUI458708:FUQ458708 GEE458708:GEM458708 GOA458708:GOI458708 GXW458708:GYE458708 HHS458708:HIA458708 HRO458708:HRW458708 IBK458708:IBS458708 ILG458708:ILO458708 IVC458708:IVK458708 JEY458708:JFG458708 JOU458708:JPC458708 JYQ458708:JYY458708 KIM458708:KIU458708 KSI458708:KSQ458708 LCE458708:LCM458708 LMA458708:LMI458708 LVW458708:LWE458708 MFS458708:MGA458708 MPO458708:MPW458708 MZK458708:MZS458708 NJG458708:NJO458708 NTC458708:NTK458708 OCY458708:ODG458708 OMU458708:ONC458708 OWQ458708:OWY458708 PGM458708:PGU458708 PQI458708:PQQ458708 QAE458708:QAM458708 QKA458708:QKI458708 QTW458708:QUE458708 RDS458708:REA458708 RNO458708:RNW458708 RXK458708:RXS458708 SHG458708:SHO458708 SRC458708:SRK458708 TAY458708:TBG458708 TKU458708:TLC458708 TUQ458708:TUY458708 UEM458708:UEU458708 UOI458708:UOQ458708 UYE458708:UYM458708 VIA458708:VII458708 VRW458708:VSE458708 WBS458708:WCA458708 WLO458708:WLW458708 WVK458708:WVS458708 C524244:K524244 IY524244:JG524244 SU524244:TC524244 ACQ524244:ACY524244 AMM524244:AMU524244 AWI524244:AWQ524244 BGE524244:BGM524244 BQA524244:BQI524244 BZW524244:CAE524244 CJS524244:CKA524244 CTO524244:CTW524244 DDK524244:DDS524244 DNG524244:DNO524244 DXC524244:DXK524244 EGY524244:EHG524244 EQU524244:ERC524244 FAQ524244:FAY524244 FKM524244:FKU524244 FUI524244:FUQ524244 GEE524244:GEM524244 GOA524244:GOI524244 GXW524244:GYE524244 HHS524244:HIA524244 HRO524244:HRW524244 IBK524244:IBS524244 ILG524244:ILO524244 IVC524244:IVK524244 JEY524244:JFG524244 JOU524244:JPC524244 JYQ524244:JYY524244 KIM524244:KIU524244 KSI524244:KSQ524244 LCE524244:LCM524244 LMA524244:LMI524244 LVW524244:LWE524244 MFS524244:MGA524244 MPO524244:MPW524244 MZK524244:MZS524244 NJG524244:NJO524244 NTC524244:NTK524244 OCY524244:ODG524244 OMU524244:ONC524244 OWQ524244:OWY524244 PGM524244:PGU524244 PQI524244:PQQ524244 QAE524244:QAM524244 QKA524244:QKI524244 QTW524244:QUE524244 RDS524244:REA524244 RNO524244:RNW524244 RXK524244:RXS524244 SHG524244:SHO524244 SRC524244:SRK524244 TAY524244:TBG524244 TKU524244:TLC524244 TUQ524244:TUY524244 UEM524244:UEU524244 UOI524244:UOQ524244 UYE524244:UYM524244 VIA524244:VII524244 VRW524244:VSE524244 WBS524244:WCA524244 WLO524244:WLW524244 WVK524244:WVS524244 C589780:K589780 IY589780:JG589780 SU589780:TC589780 ACQ589780:ACY589780 AMM589780:AMU589780 AWI589780:AWQ589780 BGE589780:BGM589780 BQA589780:BQI589780 BZW589780:CAE589780 CJS589780:CKA589780 CTO589780:CTW589780 DDK589780:DDS589780 DNG589780:DNO589780 DXC589780:DXK589780 EGY589780:EHG589780 EQU589780:ERC589780 FAQ589780:FAY589780 FKM589780:FKU589780 FUI589780:FUQ589780 GEE589780:GEM589780 GOA589780:GOI589780 GXW589780:GYE589780 HHS589780:HIA589780 HRO589780:HRW589780 IBK589780:IBS589780 ILG589780:ILO589780 IVC589780:IVK589780 JEY589780:JFG589780 JOU589780:JPC589780 JYQ589780:JYY589780 KIM589780:KIU589780 KSI589780:KSQ589780 LCE589780:LCM589780 LMA589780:LMI589780 LVW589780:LWE589780 MFS589780:MGA589780 MPO589780:MPW589780 MZK589780:MZS589780 NJG589780:NJO589780 NTC589780:NTK589780 OCY589780:ODG589780 OMU589780:ONC589780 OWQ589780:OWY589780 PGM589780:PGU589780 PQI589780:PQQ589780 QAE589780:QAM589780 QKA589780:QKI589780 QTW589780:QUE589780 RDS589780:REA589780 RNO589780:RNW589780 RXK589780:RXS589780 SHG589780:SHO589780 SRC589780:SRK589780 TAY589780:TBG589780 TKU589780:TLC589780 TUQ589780:TUY589780 UEM589780:UEU589780 UOI589780:UOQ589780 UYE589780:UYM589780 VIA589780:VII589780 VRW589780:VSE589780 WBS589780:WCA589780 WLO589780:WLW589780 WVK589780:WVS589780 C655316:K655316 IY655316:JG655316 SU655316:TC655316 ACQ655316:ACY655316 AMM655316:AMU655316 AWI655316:AWQ655316 BGE655316:BGM655316 BQA655316:BQI655316 BZW655316:CAE655316 CJS655316:CKA655316 CTO655316:CTW655316 DDK655316:DDS655316 DNG655316:DNO655316 DXC655316:DXK655316 EGY655316:EHG655316 EQU655316:ERC655316 FAQ655316:FAY655316 FKM655316:FKU655316 FUI655316:FUQ655316 GEE655316:GEM655316 GOA655316:GOI655316 GXW655316:GYE655316 HHS655316:HIA655316 HRO655316:HRW655316 IBK655316:IBS655316 ILG655316:ILO655316 IVC655316:IVK655316 JEY655316:JFG655316 JOU655316:JPC655316 JYQ655316:JYY655316 KIM655316:KIU655316 KSI655316:KSQ655316 LCE655316:LCM655316 LMA655316:LMI655316 LVW655316:LWE655316 MFS655316:MGA655316 MPO655316:MPW655316 MZK655316:MZS655316 NJG655316:NJO655316 NTC655316:NTK655316 OCY655316:ODG655316 OMU655316:ONC655316 OWQ655316:OWY655316 PGM655316:PGU655316 PQI655316:PQQ655316 QAE655316:QAM655316 QKA655316:QKI655316 QTW655316:QUE655316 RDS655316:REA655316 RNO655316:RNW655316 RXK655316:RXS655316 SHG655316:SHO655316 SRC655316:SRK655316 TAY655316:TBG655316 TKU655316:TLC655316 TUQ655316:TUY655316 UEM655316:UEU655316 UOI655316:UOQ655316 UYE655316:UYM655316 VIA655316:VII655316 VRW655316:VSE655316 WBS655316:WCA655316 WLO655316:WLW655316 WVK655316:WVS655316 C720852:K720852 IY720852:JG720852 SU720852:TC720852 ACQ720852:ACY720852 AMM720852:AMU720852 AWI720852:AWQ720852 BGE720852:BGM720852 BQA720852:BQI720852 BZW720852:CAE720852 CJS720852:CKA720852 CTO720852:CTW720852 DDK720852:DDS720852 DNG720852:DNO720852 DXC720852:DXK720852 EGY720852:EHG720852 EQU720852:ERC720852 FAQ720852:FAY720852 FKM720852:FKU720852 FUI720852:FUQ720852 GEE720852:GEM720852 GOA720852:GOI720852 GXW720852:GYE720852 HHS720852:HIA720852 HRO720852:HRW720852 IBK720852:IBS720852 ILG720852:ILO720852 IVC720852:IVK720852 JEY720852:JFG720852 JOU720852:JPC720852 JYQ720852:JYY720852 KIM720852:KIU720852 KSI720852:KSQ720852 LCE720852:LCM720852 LMA720852:LMI720852 LVW720852:LWE720852 MFS720852:MGA720852 MPO720852:MPW720852 MZK720852:MZS720852 NJG720852:NJO720852 NTC720852:NTK720852 OCY720852:ODG720852 OMU720852:ONC720852 OWQ720852:OWY720852 PGM720852:PGU720852 PQI720852:PQQ720852 QAE720852:QAM720852 QKA720852:QKI720852 QTW720852:QUE720852 RDS720852:REA720852 RNO720852:RNW720852 RXK720852:RXS720852 SHG720852:SHO720852 SRC720852:SRK720852 TAY720852:TBG720852 TKU720852:TLC720852 TUQ720852:TUY720852 UEM720852:UEU720852 UOI720852:UOQ720852 UYE720852:UYM720852 VIA720852:VII720852 VRW720852:VSE720852 WBS720852:WCA720852 WLO720852:WLW720852 WVK720852:WVS720852 C786388:K786388 IY786388:JG786388 SU786388:TC786388 ACQ786388:ACY786388 AMM786388:AMU786388 AWI786388:AWQ786388 BGE786388:BGM786388 BQA786388:BQI786388 BZW786388:CAE786388 CJS786388:CKA786388 CTO786388:CTW786388 DDK786388:DDS786388 DNG786388:DNO786388 DXC786388:DXK786388 EGY786388:EHG786388 EQU786388:ERC786388 FAQ786388:FAY786388 FKM786388:FKU786388 FUI786388:FUQ786388 GEE786388:GEM786388 GOA786388:GOI786388 GXW786388:GYE786388 HHS786388:HIA786388 HRO786388:HRW786388 IBK786388:IBS786388 ILG786388:ILO786388 IVC786388:IVK786388 JEY786388:JFG786388 JOU786388:JPC786388 JYQ786388:JYY786388 KIM786388:KIU786388 KSI786388:KSQ786388 LCE786388:LCM786388 LMA786388:LMI786388 LVW786388:LWE786388 MFS786388:MGA786388 MPO786388:MPW786388 MZK786388:MZS786388 NJG786388:NJO786388 NTC786388:NTK786388 OCY786388:ODG786388 OMU786388:ONC786388 OWQ786388:OWY786388 PGM786388:PGU786388 PQI786388:PQQ786388 QAE786388:QAM786388 QKA786388:QKI786388 QTW786388:QUE786388 RDS786388:REA786388 RNO786388:RNW786388 RXK786388:RXS786388 SHG786388:SHO786388 SRC786388:SRK786388 TAY786388:TBG786388 TKU786388:TLC786388 TUQ786388:TUY786388 UEM786388:UEU786388 UOI786388:UOQ786388 UYE786388:UYM786388 VIA786388:VII786388 VRW786388:VSE786388 WBS786388:WCA786388 WLO786388:WLW786388 WVK786388:WVS786388 C851924:K851924 IY851924:JG851924 SU851924:TC851924 ACQ851924:ACY851924 AMM851924:AMU851924 AWI851924:AWQ851924 BGE851924:BGM851924 BQA851924:BQI851924 BZW851924:CAE851924 CJS851924:CKA851924 CTO851924:CTW851924 DDK851924:DDS851924 DNG851924:DNO851924 DXC851924:DXK851924 EGY851924:EHG851924 EQU851924:ERC851924 FAQ851924:FAY851924 FKM851924:FKU851924 FUI851924:FUQ851924 GEE851924:GEM851924 GOA851924:GOI851924 GXW851924:GYE851924 HHS851924:HIA851924 HRO851924:HRW851924 IBK851924:IBS851924 ILG851924:ILO851924 IVC851924:IVK851924 JEY851924:JFG851924 JOU851924:JPC851924 JYQ851924:JYY851924 KIM851924:KIU851924 KSI851924:KSQ851924 LCE851924:LCM851924 LMA851924:LMI851924 LVW851924:LWE851924 MFS851924:MGA851924 MPO851924:MPW851924 MZK851924:MZS851924 NJG851924:NJO851924 NTC851924:NTK851924 OCY851924:ODG851924 OMU851924:ONC851924 OWQ851924:OWY851924 PGM851924:PGU851924 PQI851924:PQQ851924 QAE851924:QAM851924 QKA851924:QKI851924 QTW851924:QUE851924 RDS851924:REA851924 RNO851924:RNW851924 RXK851924:RXS851924 SHG851924:SHO851924 SRC851924:SRK851924 TAY851924:TBG851924 TKU851924:TLC851924 TUQ851924:TUY851924 UEM851924:UEU851924 UOI851924:UOQ851924 UYE851924:UYM851924 VIA851924:VII851924 VRW851924:VSE851924 WBS851924:WCA851924 WLO851924:WLW851924 WVK851924:WVS851924 C917460:K917460 IY917460:JG917460 SU917460:TC917460 ACQ917460:ACY917460 AMM917460:AMU917460 AWI917460:AWQ917460 BGE917460:BGM917460 BQA917460:BQI917460 BZW917460:CAE917460 CJS917460:CKA917460 CTO917460:CTW917460 DDK917460:DDS917460 DNG917460:DNO917460 DXC917460:DXK917460 EGY917460:EHG917460 EQU917460:ERC917460 FAQ917460:FAY917460 FKM917460:FKU917460 FUI917460:FUQ917460 GEE917460:GEM917460 GOA917460:GOI917460 GXW917460:GYE917460 HHS917460:HIA917460 HRO917460:HRW917460 IBK917460:IBS917460 ILG917460:ILO917460 IVC917460:IVK917460 JEY917460:JFG917460 JOU917460:JPC917460 JYQ917460:JYY917460 KIM917460:KIU917460 KSI917460:KSQ917460 LCE917460:LCM917460 LMA917460:LMI917460 LVW917460:LWE917460 MFS917460:MGA917460 MPO917460:MPW917460 MZK917460:MZS917460 NJG917460:NJO917460 NTC917460:NTK917460 OCY917460:ODG917460 OMU917460:ONC917460 OWQ917460:OWY917460 PGM917460:PGU917460 PQI917460:PQQ917460 QAE917460:QAM917460 QKA917460:QKI917460 QTW917460:QUE917460 RDS917460:REA917460 RNO917460:RNW917460 RXK917460:RXS917460 SHG917460:SHO917460 SRC917460:SRK917460 TAY917460:TBG917460 TKU917460:TLC917460 TUQ917460:TUY917460 UEM917460:UEU917460 UOI917460:UOQ917460 UYE917460:UYM917460 VIA917460:VII917460 VRW917460:VSE917460 WBS917460:WCA917460 WLO917460:WLW917460 WVK917460:WVS917460 C982996:K982996 IY982996:JG982996 SU982996:TC982996 ACQ982996:ACY982996 AMM982996:AMU982996 AWI982996:AWQ982996 BGE982996:BGM982996 BQA982996:BQI982996 BZW982996:CAE982996 CJS982996:CKA982996 CTO982996:CTW982996 DDK982996:DDS982996 DNG982996:DNO982996 DXC982996:DXK982996 EGY982996:EHG982996 EQU982996:ERC982996 FAQ982996:FAY982996 FKM982996:FKU982996 FUI982996:FUQ982996 GEE982996:GEM982996 GOA982996:GOI982996 GXW982996:GYE982996 HHS982996:HIA982996 HRO982996:HRW982996 IBK982996:IBS982996 ILG982996:ILO982996 IVC982996:IVK982996 JEY982996:JFG982996 JOU982996:JPC982996 JYQ982996:JYY982996 KIM982996:KIU982996 KSI982996:KSQ982996 LCE982996:LCM982996 LMA982996:LMI982996 LVW982996:LWE982996 MFS982996:MGA982996 MPO982996:MPW982996 MZK982996:MZS982996 NJG982996:NJO982996 NTC982996:NTK982996 OCY982996:ODG982996 OMU982996:ONC982996 OWQ982996:OWY982996 PGM982996:PGU982996 PQI982996:PQQ982996 QAE982996:QAM982996 QKA982996:QKI982996 QTW982996:QUE982996 RDS982996:REA982996 RNO982996:RNW982996 RXK982996:RXS982996 SHG982996:SHO982996 SRC982996:SRK982996 TAY982996:TBG982996 TKU982996:TLC982996 TUQ982996:TUY982996 UEM982996:UEU982996 UOI982996:UOQ982996 UYE982996:UYM982996 VIA982996:VII982996 VRW982996:VSE982996 WBS982996:WCA982996 WLO982996:WLW982996 WVK982996:WVS982996" xr:uid="{00000000-0002-0000-0300-000004000000}">
      <formula1>0</formula1>
      <formula2>20</formula2>
    </dataValidation>
    <dataValidation type="list" showInputMessage="1" sqref="C27:U30 C35:U38 C43:U46" xr:uid="{00000000-0002-0000-0300-000005000000}">
      <formula1>$X$53:$X$58</formula1>
    </dataValidation>
  </dataValidations>
  <pageMargins left="0.7" right="0.7" top="0.75" bottom="0.75" header="0.3" footer="0.3"/>
  <pageSetup paperSize="9" scale="81" orientation="portrait" verticalDpi="0" r:id="rId1"/>
  <colBreaks count="1" manualBreakCount="1">
    <brk id="21" max="1048575" man="1"/>
  </colBreaks>
  <drawing r:id="rId2"/>
  <legacyDrawing r:id="rId3"/>
  <controls>
    <mc:AlternateContent xmlns:mc="http://schemas.openxmlformats.org/markup-compatibility/2006">
      <mc:Choice Requires="x14">
        <control shapeId="9218" r:id="rId4" name="PDF">
          <controlPr print="0" autoLine="0" r:id="rId5">
            <anchor moveWithCells="1">
              <from>
                <xdr:col>0</xdr:col>
                <xdr:colOff>152400</xdr:colOff>
                <xdr:row>1</xdr:row>
                <xdr:rowOff>390525</xdr:rowOff>
              </from>
              <to>
                <xdr:col>3</xdr:col>
                <xdr:colOff>9525</xdr:colOff>
                <xdr:row>3</xdr:row>
                <xdr:rowOff>66675</xdr:rowOff>
              </to>
            </anchor>
          </controlPr>
        </control>
      </mc:Choice>
      <mc:Fallback>
        <control shapeId="9218" r:id="rId4" name="PDF"/>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6000000}">
          <x14:formula1>
            <xm:f>プルダウンリスト!$L$23:$L$24</xm:f>
          </x14:formula1>
          <xm:sqref>F9 Q9</xm:sqref>
        </x14:dataValidation>
        <x14:dataValidation type="list" showInputMessage="1" xr:uid="{00000000-0002-0000-0300-000007000000}">
          <x14:formula1>
            <xm:f>プルダウンリスト!$D$24:$D$27</xm:f>
          </x14:formula1>
          <xm:sqref>C32:U32 C24:U24 C48:U48 C40:U40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0000"/>
  </sheetPr>
  <dimension ref="A1:K36"/>
  <sheetViews>
    <sheetView topLeftCell="A7" workbookViewId="0">
      <selection activeCell="M34" sqref="M34"/>
    </sheetView>
  </sheetViews>
  <sheetFormatPr defaultColWidth="9" defaultRowHeight="13.5"/>
  <cols>
    <col min="1" max="1" width="2.875" style="189" customWidth="1"/>
    <col min="2" max="2" width="4.125" style="189" customWidth="1"/>
    <col min="3" max="3" width="12.25" style="189" customWidth="1"/>
    <col min="4" max="16384" width="9" style="189"/>
  </cols>
  <sheetData>
    <row r="1" spans="1:11" ht="14.25">
      <c r="A1" s="188" t="s">
        <v>318</v>
      </c>
    </row>
    <row r="2" spans="1:11" ht="9.9499999999999993" customHeight="1"/>
    <row r="3" spans="1:11" ht="9.9499999999999993" customHeight="1">
      <c r="B3" s="190"/>
      <c r="C3" s="191"/>
      <c r="D3" s="191"/>
      <c r="E3" s="191"/>
      <c r="F3" s="191"/>
      <c r="G3" s="191"/>
      <c r="H3" s="191"/>
      <c r="I3" s="191"/>
      <c r="J3" s="192"/>
      <c r="K3" s="193"/>
    </row>
    <row r="4" spans="1:11">
      <c r="B4" s="193" t="s">
        <v>319</v>
      </c>
      <c r="J4" s="194"/>
      <c r="K4" s="193"/>
    </row>
    <row r="5" spans="1:11">
      <c r="B5" s="193" t="s">
        <v>320</v>
      </c>
      <c r="J5" s="194"/>
      <c r="K5" s="193"/>
    </row>
    <row r="6" spans="1:11">
      <c r="B6" s="193"/>
      <c r="C6" s="189" t="s">
        <v>321</v>
      </c>
      <c r="J6" s="194"/>
      <c r="K6" s="193"/>
    </row>
    <row r="7" spans="1:11">
      <c r="B7" s="193"/>
      <c r="C7" s="189" t="s">
        <v>322</v>
      </c>
      <c r="J7" s="194"/>
      <c r="K7" s="193"/>
    </row>
    <row r="8" spans="1:11">
      <c r="B8" s="193"/>
      <c r="C8" s="189" t="s">
        <v>323</v>
      </c>
      <c r="J8" s="194"/>
      <c r="K8" s="193"/>
    </row>
    <row r="9" spans="1:11">
      <c r="B9" s="193"/>
      <c r="C9" s="189" t="s">
        <v>324</v>
      </c>
      <c r="J9" s="194"/>
      <c r="K9" s="193"/>
    </row>
    <row r="10" spans="1:11">
      <c r="B10" s="193"/>
      <c r="C10" s="189" t="s">
        <v>325</v>
      </c>
      <c r="J10" s="194"/>
      <c r="K10" s="193"/>
    </row>
    <row r="11" spans="1:11" ht="19.5" customHeight="1">
      <c r="B11" s="193"/>
      <c r="C11" s="613" t="s">
        <v>326</v>
      </c>
      <c r="D11" s="613"/>
      <c r="E11" s="613"/>
      <c r="F11" s="613"/>
      <c r="G11" s="613"/>
      <c r="H11" s="613"/>
      <c r="I11" s="613"/>
      <c r="J11" s="195"/>
      <c r="K11" s="193"/>
    </row>
    <row r="12" spans="1:11" ht="30.75" customHeight="1">
      <c r="B12" s="193"/>
      <c r="C12" s="196" t="s">
        <v>327</v>
      </c>
      <c r="D12" s="612" t="s">
        <v>328</v>
      </c>
      <c r="E12" s="612"/>
      <c r="F12" s="612"/>
      <c r="G12" s="612"/>
      <c r="H12" s="612"/>
      <c r="I12" s="612"/>
      <c r="J12" s="194"/>
      <c r="K12" s="193"/>
    </row>
    <row r="13" spans="1:11" ht="60" customHeight="1">
      <c r="B13" s="193"/>
      <c r="C13" s="197" t="s">
        <v>329</v>
      </c>
      <c r="D13" s="612" t="s">
        <v>330</v>
      </c>
      <c r="E13" s="612"/>
      <c r="F13" s="612"/>
      <c r="G13" s="612"/>
      <c r="H13" s="612"/>
      <c r="I13" s="612"/>
      <c r="J13" s="194"/>
      <c r="K13" s="193"/>
    </row>
    <row r="14" spans="1:11">
      <c r="B14" s="193"/>
      <c r="C14" s="196" t="s">
        <v>331</v>
      </c>
      <c r="D14" s="612" t="s">
        <v>332</v>
      </c>
      <c r="E14" s="612"/>
      <c r="F14" s="612"/>
      <c r="G14" s="612"/>
      <c r="H14" s="612"/>
      <c r="I14" s="612"/>
      <c r="J14" s="194"/>
      <c r="K14" s="193"/>
    </row>
    <row r="15" spans="1:11">
      <c r="B15" s="193"/>
      <c r="J15" s="194"/>
      <c r="K15" s="193"/>
    </row>
    <row r="16" spans="1:11">
      <c r="B16" s="193" t="s">
        <v>333</v>
      </c>
      <c r="J16" s="194"/>
      <c r="K16" s="193"/>
    </row>
    <row r="17" spans="1:11">
      <c r="B17" s="193" t="s">
        <v>334</v>
      </c>
      <c r="J17" s="194"/>
      <c r="K17" s="193"/>
    </row>
    <row r="18" spans="1:11" ht="9.9499999999999993" customHeight="1">
      <c r="B18" s="198"/>
      <c r="C18" s="199"/>
      <c r="D18" s="199"/>
      <c r="E18" s="199"/>
      <c r="F18" s="199"/>
      <c r="G18" s="199"/>
      <c r="H18" s="199"/>
      <c r="I18" s="199"/>
      <c r="J18" s="200"/>
      <c r="K18" s="193"/>
    </row>
    <row r="20" spans="1:11" ht="14.25">
      <c r="A20" s="188" t="s">
        <v>335</v>
      </c>
    </row>
    <row r="21" spans="1:11" ht="9.9499999999999993" customHeight="1"/>
    <row r="22" spans="1:11" ht="9.9499999999999993" customHeight="1">
      <c r="B22" s="190"/>
      <c r="C22" s="191"/>
      <c r="D22" s="191"/>
      <c r="E22" s="191"/>
      <c r="F22" s="191"/>
      <c r="G22" s="191"/>
      <c r="H22" s="191"/>
      <c r="I22" s="191"/>
      <c r="J22" s="192"/>
    </row>
    <row r="23" spans="1:11">
      <c r="B23" s="193" t="s">
        <v>336</v>
      </c>
      <c r="J23" s="194"/>
    </row>
    <row r="24" spans="1:11">
      <c r="B24" s="193" t="s">
        <v>337</v>
      </c>
      <c r="J24" s="194"/>
    </row>
    <row r="25" spans="1:11">
      <c r="B25" s="193"/>
      <c r="J25" s="194"/>
    </row>
    <row r="26" spans="1:11">
      <c r="B26" s="193" t="s">
        <v>338</v>
      </c>
      <c r="J26" s="194"/>
    </row>
    <row r="27" spans="1:11">
      <c r="B27" s="193"/>
      <c r="C27" s="189" t="s">
        <v>339</v>
      </c>
      <c r="J27" s="194"/>
    </row>
    <row r="28" spans="1:11">
      <c r="B28" s="193"/>
      <c r="C28" s="189" t="s">
        <v>340</v>
      </c>
      <c r="J28" s="194"/>
    </row>
    <row r="29" spans="1:11">
      <c r="B29" s="193"/>
      <c r="C29" s="189" t="s">
        <v>341</v>
      </c>
      <c r="J29" s="194"/>
    </row>
    <row r="30" spans="1:11">
      <c r="B30" s="193"/>
      <c r="J30" s="194"/>
    </row>
    <row r="31" spans="1:11">
      <c r="B31" s="193" t="s">
        <v>342</v>
      </c>
      <c r="J31" s="194"/>
    </row>
    <row r="32" spans="1:11">
      <c r="B32" s="193"/>
      <c r="C32" s="189" t="s">
        <v>343</v>
      </c>
      <c r="J32" s="194"/>
    </row>
    <row r="33" spans="2:10">
      <c r="B33" s="193"/>
      <c r="C33" s="201" t="s">
        <v>344</v>
      </c>
      <c r="J33" s="194"/>
    </row>
    <row r="34" spans="2:10">
      <c r="B34" s="193"/>
      <c r="C34" s="189" t="s">
        <v>345</v>
      </c>
      <c r="J34" s="194"/>
    </row>
    <row r="35" spans="2:10">
      <c r="B35" s="193"/>
      <c r="C35" s="189" t="s">
        <v>346</v>
      </c>
      <c r="J35" s="194"/>
    </row>
    <row r="36" spans="2:10" ht="9.9499999999999993" customHeight="1">
      <c r="B36" s="198"/>
      <c r="C36" s="199"/>
      <c r="D36" s="199"/>
      <c r="E36" s="199"/>
      <c r="F36" s="199"/>
      <c r="G36" s="199"/>
      <c r="H36" s="199"/>
      <c r="I36" s="199"/>
      <c r="J36" s="200"/>
    </row>
  </sheetData>
  <mergeCells count="4">
    <mergeCell ref="D13:I13"/>
    <mergeCell ref="D14:I14"/>
    <mergeCell ref="D12:I12"/>
    <mergeCell ref="C11:I11"/>
  </mergeCells>
  <phoneticPr fontId="1"/>
  <pageMargins left="0.31496062992125984" right="0.31496062992125984" top="0.74803149606299213" bottom="0.74803149606299213" header="0.31496062992125984" footer="0.31496062992125984"/>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A16"/>
  <sheetViews>
    <sheetView showGridLines="0" zoomScale="85" zoomScaleNormal="85" workbookViewId="0">
      <selection activeCell="A2" sqref="A2"/>
    </sheetView>
  </sheetViews>
  <sheetFormatPr defaultColWidth="5.25" defaultRowHeight="18.75"/>
  <cols>
    <col min="2" max="2" width="57.375" customWidth="1"/>
    <col min="5" max="5" width="57.375" customWidth="1"/>
    <col min="8" max="8" width="60" customWidth="1"/>
    <col min="9" max="9" width="35.375" style="122" customWidth="1"/>
  </cols>
  <sheetData>
    <row r="1" spans="1:27" s="99" customFormat="1" ht="25.5">
      <c r="A1" s="101" t="s">
        <v>347</v>
      </c>
      <c r="B1" s="102"/>
      <c r="D1" s="108" t="s">
        <v>348</v>
      </c>
      <c r="E1" s="109"/>
      <c r="G1" s="113" t="s">
        <v>349</v>
      </c>
      <c r="H1" s="114"/>
    </row>
    <row r="2" spans="1:27" s="100" customFormat="1" ht="37.5">
      <c r="A2" s="103" t="s">
        <v>350</v>
      </c>
      <c r="B2" s="262" t="s">
        <v>351</v>
      </c>
      <c r="D2" s="110" t="s">
        <v>350</v>
      </c>
      <c r="E2" s="111" t="s">
        <v>352</v>
      </c>
      <c r="G2" s="115" t="s">
        <v>350</v>
      </c>
      <c r="H2" s="104"/>
      <c r="I2" s="121" t="s">
        <v>353</v>
      </c>
    </row>
    <row r="3" spans="1:27" s="100" customFormat="1">
      <c r="A3" s="103" t="s">
        <v>354</v>
      </c>
      <c r="B3" s="105" t="s">
        <v>355</v>
      </c>
      <c r="D3" s="110" t="s">
        <v>354</v>
      </c>
      <c r="E3" s="105" t="s">
        <v>356</v>
      </c>
      <c r="G3" s="115" t="s">
        <v>354</v>
      </c>
      <c r="H3" s="105" t="s">
        <v>357</v>
      </c>
      <c r="I3" s="121"/>
    </row>
    <row r="4" spans="1:27" s="100" customFormat="1" ht="303" customHeight="1">
      <c r="A4" s="106" t="s">
        <v>358</v>
      </c>
      <c r="B4" s="107" t="s">
        <v>359</v>
      </c>
      <c r="D4" s="112" t="s">
        <v>358</v>
      </c>
      <c r="E4" s="107" t="s">
        <v>360</v>
      </c>
      <c r="G4" s="116" t="s">
        <v>358</v>
      </c>
      <c r="H4" s="119" t="str">
        <f>"関係者各位"&amp;CHAR(10)&amp;CHAR(10)&amp;"************************************************* "&amp;CHAR(10)&amp;"        　　　　 弔  事  連  絡"&amp;CHAR(10)&amp;" *************************************************"&amp;CHAR(10)&amp;CHAR(10)&amp;"標記の件、謹んでご連絡致します。"&amp;CHAR(10)&amp;"通夜/葬式等の詳細は添付資料をご確認ください。"&amp;CHAR(10)&amp;CHAR(10)&amp;" ■申請者情報"&amp;CHAR(10)&amp;"　　"&amp;弔事報告書!F$11&amp;"（"&amp;弔事報告書!AA9&amp;")"&amp;CHAR(10)&amp;CHAR(10)&amp;"■ご逝去された方"&amp;CHAR(10)&amp;"　　"&amp;弔事報告書!F$16&amp;"（"&amp;"申請者との続柄："&amp;弔事報告書!AA15&amp;")"&amp;CHAR(10)&amp;CHAR(10)&amp;"以上、よろしくお願いします。"</f>
        <v>関係者各位
************************************************* 
        　　　　 弔  事  連  絡
 *************************************************
標記の件、謹んでご連絡致します。
通夜/葬式等の詳細は添付資料をご確認ください。
 ■申請者情報
　　（)
■ご逝去された方
　　（申請者との続柄：)
以上、よろしくお願いします。</v>
      </c>
      <c r="I4" s="122" t="s">
        <v>361</v>
      </c>
    </row>
    <row r="6" spans="1:27" s="99" customFormat="1" ht="25.5">
      <c r="I6" s="123"/>
    </row>
    <row r="7" spans="1:27" s="100" customFormat="1">
      <c r="I7" s="121"/>
    </row>
    <row r="8" spans="1:27" s="100" customFormat="1">
      <c r="I8" s="121"/>
    </row>
    <row r="9" spans="1:27" s="100" customFormat="1">
      <c r="I9" s="121"/>
    </row>
    <row r="11" spans="1:27" s="99" customFormat="1" ht="25.5">
      <c r="A11"/>
      <c r="B11"/>
      <c r="I11" s="123"/>
      <c r="AA11" s="120"/>
    </row>
    <row r="16" spans="1:27" ht="21.6" customHeight="1"/>
  </sheetData>
  <phoneticPr fontId="1"/>
  <hyperlinks>
    <hyperlink ref="B2" r:id="rId1" xr:uid="{56BA98BF-FA8A-46C7-B4B4-F4EA8A81840A}"/>
  </hyperlinks>
  <pageMargins left="0.7" right="0.7" top="0.75" bottom="0.75" header="0.3" footer="0.3"/>
  <pageSetup paperSize="9" orientation="portrait" verticalDpi="0"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B2:T35"/>
  <sheetViews>
    <sheetView zoomScale="110" zoomScaleNormal="110" workbookViewId="0">
      <selection activeCell="D13" sqref="D13"/>
    </sheetView>
  </sheetViews>
  <sheetFormatPr defaultRowHeight="18.75"/>
  <cols>
    <col min="1" max="1" width="2.875" customWidth="1"/>
    <col min="2" max="2" width="26.25" bestFit="1" customWidth="1"/>
    <col min="3" max="3" width="2.25" customWidth="1"/>
    <col min="4" max="4" width="49.125" bestFit="1" customWidth="1"/>
    <col min="5" max="5" width="3.5" customWidth="1"/>
    <col min="6" max="7" width="3.5" bestFit="1" customWidth="1"/>
    <col min="8" max="8" width="5.25" bestFit="1" customWidth="1"/>
    <col min="9" max="9" width="3.5" bestFit="1" customWidth="1"/>
    <col min="10" max="10" width="5.25" bestFit="1" customWidth="1"/>
    <col min="11" max="11" width="3.875" customWidth="1"/>
    <col min="14" max="17" width="3.5" style="5" customWidth="1"/>
    <col min="18" max="18" width="3.375" style="5" customWidth="1"/>
    <col min="19" max="20" width="3.25" style="5"/>
  </cols>
  <sheetData>
    <row r="2" spans="2:20" ht="19.5">
      <c r="B2" s="7" t="s">
        <v>362</v>
      </c>
      <c r="N2" s="118" t="s">
        <v>363</v>
      </c>
    </row>
    <row r="4" spans="2:20">
      <c r="B4" s="1" t="s">
        <v>30</v>
      </c>
      <c r="D4" s="1" t="s">
        <v>40</v>
      </c>
      <c r="F4" s="4" t="s">
        <v>5</v>
      </c>
      <c r="G4" s="4" t="s">
        <v>6</v>
      </c>
      <c r="H4" s="4" t="s">
        <v>364</v>
      </c>
      <c r="I4" s="4" t="s">
        <v>365</v>
      </c>
      <c r="J4" s="4" t="s">
        <v>366</v>
      </c>
      <c r="L4" s="4" t="s">
        <v>76</v>
      </c>
      <c r="N4" s="614"/>
      <c r="O4" s="614"/>
      <c r="P4" s="614"/>
      <c r="Q4" s="614"/>
      <c r="R4" s="614"/>
      <c r="S4" s="614"/>
      <c r="T4" s="614"/>
    </row>
    <row r="5" spans="2:20">
      <c r="B5" t="s">
        <v>367</v>
      </c>
      <c r="F5">
        <v>1</v>
      </c>
      <c r="G5">
        <v>1</v>
      </c>
      <c r="H5" s="6" t="s">
        <v>368</v>
      </c>
      <c r="I5" s="6" t="s">
        <v>369</v>
      </c>
      <c r="J5" t="s">
        <v>5</v>
      </c>
      <c r="L5" t="s">
        <v>370</v>
      </c>
      <c r="N5" s="615"/>
      <c r="O5" s="615"/>
      <c r="P5" s="615"/>
      <c r="Q5" s="615"/>
      <c r="R5" s="615"/>
      <c r="S5" s="615"/>
      <c r="T5" s="615"/>
    </row>
    <row r="6" spans="2:20">
      <c r="B6" t="s">
        <v>371</v>
      </c>
      <c r="D6" t="s">
        <v>372</v>
      </c>
      <c r="F6">
        <v>2</v>
      </c>
      <c r="G6">
        <v>2</v>
      </c>
      <c r="H6">
        <v>1</v>
      </c>
      <c r="I6">
        <v>15</v>
      </c>
      <c r="J6" t="s">
        <v>373</v>
      </c>
      <c r="L6" t="s">
        <v>374</v>
      </c>
      <c r="N6" s="616"/>
      <c r="O6" s="617"/>
      <c r="P6" s="617"/>
      <c r="Q6" s="617"/>
      <c r="R6" s="617"/>
      <c r="S6" s="617"/>
      <c r="T6" s="618"/>
    </row>
    <row r="7" spans="2:20">
      <c r="D7" t="s">
        <v>375</v>
      </c>
      <c r="F7">
        <v>3</v>
      </c>
      <c r="G7">
        <v>3</v>
      </c>
      <c r="H7">
        <v>2</v>
      </c>
      <c r="I7">
        <v>30</v>
      </c>
      <c r="J7" t="s">
        <v>376</v>
      </c>
      <c r="L7" t="s">
        <v>377</v>
      </c>
    </row>
    <row r="8" spans="2:20">
      <c r="B8" s="3" t="s">
        <v>378</v>
      </c>
      <c r="D8" t="s">
        <v>379</v>
      </c>
      <c r="F8">
        <v>4</v>
      </c>
      <c r="G8">
        <v>4</v>
      </c>
      <c r="H8">
        <v>3</v>
      </c>
      <c r="I8">
        <v>45</v>
      </c>
      <c r="J8" t="s">
        <v>380</v>
      </c>
    </row>
    <row r="9" spans="2:20">
      <c r="B9" t="s">
        <v>381</v>
      </c>
      <c r="D9" t="s">
        <v>382</v>
      </c>
      <c r="F9">
        <v>5</v>
      </c>
      <c r="G9">
        <v>5</v>
      </c>
      <c r="H9">
        <v>4</v>
      </c>
      <c r="J9" t="s">
        <v>383</v>
      </c>
      <c r="L9" s="619" t="s">
        <v>384</v>
      </c>
      <c r="M9" s="619"/>
    </row>
    <row r="10" spans="2:20">
      <c r="B10" t="s">
        <v>385</v>
      </c>
      <c r="D10" s="246" t="s">
        <v>386</v>
      </c>
      <c r="F10">
        <v>6</v>
      </c>
      <c r="G10">
        <v>6</v>
      </c>
      <c r="H10">
        <v>5</v>
      </c>
      <c r="J10" t="s">
        <v>387</v>
      </c>
      <c r="L10" t="s">
        <v>388</v>
      </c>
    </row>
    <row r="11" spans="2:20">
      <c r="D11" s="246" t="s">
        <v>389</v>
      </c>
      <c r="F11">
        <v>7</v>
      </c>
      <c r="G11">
        <v>7</v>
      </c>
      <c r="H11">
        <v>6</v>
      </c>
      <c r="J11" t="s">
        <v>390</v>
      </c>
      <c r="L11" t="s">
        <v>391</v>
      </c>
    </row>
    <row r="12" spans="2:20">
      <c r="D12" s="246" t="s">
        <v>392</v>
      </c>
      <c r="F12">
        <v>8</v>
      </c>
      <c r="G12">
        <v>8</v>
      </c>
      <c r="H12">
        <v>7</v>
      </c>
      <c r="L12" t="s">
        <v>393</v>
      </c>
    </row>
    <row r="13" spans="2:20">
      <c r="D13" s="246" t="s">
        <v>394</v>
      </c>
      <c r="F13">
        <v>9</v>
      </c>
      <c r="G13">
        <v>9</v>
      </c>
      <c r="H13">
        <v>8</v>
      </c>
    </row>
    <row r="14" spans="2:20">
      <c r="B14" s="1" t="s">
        <v>395</v>
      </c>
      <c r="F14">
        <v>10</v>
      </c>
      <c r="G14">
        <v>10</v>
      </c>
      <c r="H14">
        <v>9</v>
      </c>
      <c r="L14" s="4" t="s">
        <v>396</v>
      </c>
    </row>
    <row r="15" spans="2:20">
      <c r="B15" t="s">
        <v>397</v>
      </c>
      <c r="D15" s="4" t="s">
        <v>43</v>
      </c>
      <c r="F15">
        <v>11</v>
      </c>
      <c r="G15">
        <v>11</v>
      </c>
      <c r="H15">
        <v>10</v>
      </c>
      <c r="L15" t="s">
        <v>381</v>
      </c>
    </row>
    <row r="16" spans="2:20">
      <c r="B16" t="s">
        <v>398</v>
      </c>
      <c r="D16" t="s">
        <v>399</v>
      </c>
      <c r="F16">
        <v>12</v>
      </c>
      <c r="G16">
        <v>12</v>
      </c>
      <c r="H16">
        <v>11</v>
      </c>
      <c r="L16" t="s">
        <v>400</v>
      </c>
    </row>
    <row r="17" spans="2:12">
      <c r="B17" t="s">
        <v>401</v>
      </c>
      <c r="D17" t="s">
        <v>402</v>
      </c>
      <c r="G17">
        <v>13</v>
      </c>
      <c r="H17">
        <v>12</v>
      </c>
    </row>
    <row r="18" spans="2:12">
      <c r="B18" t="s">
        <v>403</v>
      </c>
      <c r="G18">
        <v>14</v>
      </c>
      <c r="H18">
        <v>13</v>
      </c>
      <c r="L18" s="1" t="s">
        <v>404</v>
      </c>
    </row>
    <row r="19" spans="2:12">
      <c r="B19" t="s">
        <v>405</v>
      </c>
      <c r="D19" t="s">
        <v>406</v>
      </c>
      <c r="G19">
        <v>15</v>
      </c>
      <c r="H19">
        <v>14</v>
      </c>
      <c r="L19" t="s">
        <v>374</v>
      </c>
    </row>
    <row r="20" spans="2:12">
      <c r="D20" t="s">
        <v>370</v>
      </c>
      <c r="G20">
        <v>16</v>
      </c>
      <c r="H20">
        <v>15</v>
      </c>
      <c r="L20" t="s">
        <v>377</v>
      </c>
    </row>
    <row r="21" spans="2:12">
      <c r="D21" t="s">
        <v>407</v>
      </c>
      <c r="G21">
        <v>17</v>
      </c>
      <c r="H21">
        <v>16</v>
      </c>
    </row>
    <row r="22" spans="2:12">
      <c r="B22" s="4" t="s">
        <v>58</v>
      </c>
      <c r="G22">
        <v>18</v>
      </c>
      <c r="H22">
        <v>17</v>
      </c>
      <c r="L22" s="1" t="s">
        <v>408</v>
      </c>
    </row>
    <row r="23" spans="2:12">
      <c r="B23" t="s">
        <v>409</v>
      </c>
      <c r="D23" s="117" t="s">
        <v>408</v>
      </c>
      <c r="G23">
        <v>19</v>
      </c>
      <c r="H23">
        <v>18</v>
      </c>
      <c r="L23">
        <v>1</v>
      </c>
    </row>
    <row r="24" spans="2:12">
      <c r="B24" t="s">
        <v>410</v>
      </c>
      <c r="D24" s="246" t="s">
        <v>411</v>
      </c>
      <c r="G24">
        <v>20</v>
      </c>
      <c r="H24">
        <v>19</v>
      </c>
      <c r="L24">
        <v>2</v>
      </c>
    </row>
    <row r="25" spans="2:12">
      <c r="B25" t="s">
        <v>412</v>
      </c>
      <c r="D25" s="246" t="s">
        <v>302</v>
      </c>
      <c r="G25">
        <v>21</v>
      </c>
      <c r="H25">
        <v>20</v>
      </c>
    </row>
    <row r="26" spans="2:12">
      <c r="B26" t="s">
        <v>413</v>
      </c>
      <c r="D26" s="246" t="s">
        <v>414</v>
      </c>
      <c r="G26">
        <v>22</v>
      </c>
      <c r="H26">
        <v>21</v>
      </c>
      <c r="L26" s="4" t="s">
        <v>85</v>
      </c>
    </row>
    <row r="27" spans="2:12">
      <c r="D27" s="246" t="s">
        <v>415</v>
      </c>
      <c r="G27">
        <v>23</v>
      </c>
      <c r="H27">
        <v>22</v>
      </c>
      <c r="L27" t="s">
        <v>416</v>
      </c>
    </row>
    <row r="28" spans="2:12">
      <c r="G28">
        <v>24</v>
      </c>
      <c r="H28">
        <v>23</v>
      </c>
      <c r="L28" t="s">
        <v>417</v>
      </c>
    </row>
    <row r="29" spans="2:12">
      <c r="G29">
        <v>25</v>
      </c>
    </row>
    <row r="30" spans="2:12">
      <c r="G30">
        <v>26</v>
      </c>
      <c r="L30" s="4" t="s">
        <v>62</v>
      </c>
    </row>
    <row r="31" spans="2:12">
      <c r="G31">
        <v>27</v>
      </c>
      <c r="L31" t="s">
        <v>418</v>
      </c>
    </row>
    <row r="32" spans="2:12">
      <c r="G32">
        <v>28</v>
      </c>
      <c r="L32" t="s">
        <v>419</v>
      </c>
    </row>
    <row r="33" spans="7:7">
      <c r="G33">
        <v>29</v>
      </c>
    </row>
    <row r="34" spans="7:7">
      <c r="G34">
        <v>30</v>
      </c>
    </row>
    <row r="35" spans="7:7">
      <c r="G35">
        <v>31</v>
      </c>
    </row>
  </sheetData>
  <mergeCells count="4">
    <mergeCell ref="N4:T4"/>
    <mergeCell ref="N5:T5"/>
    <mergeCell ref="N6:T6"/>
    <mergeCell ref="L9:M9"/>
  </mergeCells>
  <phoneticPr fontId="1"/>
  <conditionalFormatting sqref="N4:T6">
    <cfRule type="cellIs" dxfId="0" priority="2" operator="equal">
      <formula>""</formula>
    </cfRule>
  </conditionalFormatting>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Y60"/>
  <sheetViews>
    <sheetView zoomScale="80" zoomScaleNormal="80" workbookViewId="0">
      <pane ySplit="4" topLeftCell="A14" activePane="bottomLeft" state="frozen"/>
      <selection pane="bottomLeft" activeCell="A61" sqref="A61"/>
    </sheetView>
  </sheetViews>
  <sheetFormatPr defaultColWidth="9.875" defaultRowHeight="18.75"/>
  <cols>
    <col min="1" max="1" width="76.375" style="15" customWidth="1"/>
    <col min="4" max="4" width="47.625" bestFit="1" customWidth="1"/>
    <col min="6" max="18" width="9.875" style="91"/>
    <col min="19" max="25" width="9.875" style="2"/>
  </cols>
  <sheetData>
    <row r="1" spans="1:25" ht="24">
      <c r="A1" s="90"/>
      <c r="B1" s="8" t="s">
        <v>420</v>
      </c>
      <c r="E1" t="s">
        <v>421</v>
      </c>
      <c r="F1" s="91">
        <v>6</v>
      </c>
      <c r="G1" s="91">
        <v>7</v>
      </c>
      <c r="H1" s="91">
        <v>8</v>
      </c>
      <c r="I1" s="91">
        <v>9</v>
      </c>
      <c r="J1" s="91">
        <v>10</v>
      </c>
      <c r="K1" s="91">
        <v>11</v>
      </c>
      <c r="L1" s="91">
        <v>12</v>
      </c>
      <c r="M1" s="91">
        <v>13</v>
      </c>
      <c r="N1" s="91">
        <v>14</v>
      </c>
      <c r="O1" s="91">
        <v>15</v>
      </c>
      <c r="P1" s="91">
        <v>16</v>
      </c>
      <c r="Q1" s="91">
        <v>17</v>
      </c>
      <c r="R1" s="91">
        <v>18</v>
      </c>
      <c r="S1" s="2">
        <v>19</v>
      </c>
      <c r="T1" s="2">
        <v>20</v>
      </c>
      <c r="U1" s="2">
        <v>21</v>
      </c>
      <c r="V1" s="2">
        <v>22</v>
      </c>
      <c r="W1" s="2">
        <v>23</v>
      </c>
      <c r="X1" s="2">
        <v>24</v>
      </c>
      <c r="Y1" s="2">
        <v>25</v>
      </c>
    </row>
    <row r="2" spans="1:25">
      <c r="B2" s="13" t="s">
        <v>422</v>
      </c>
    </row>
    <row r="3" spans="1:25">
      <c r="A3" s="624" t="s">
        <v>423</v>
      </c>
      <c r="B3" s="10" t="s">
        <v>424</v>
      </c>
      <c r="C3" s="10" t="s">
        <v>425</v>
      </c>
      <c r="D3" s="10" t="s">
        <v>426</v>
      </c>
      <c r="E3" s="10" t="s">
        <v>427</v>
      </c>
      <c r="F3" s="92" t="s">
        <v>428</v>
      </c>
      <c r="G3" s="620" t="s">
        <v>429</v>
      </c>
      <c r="H3" s="620"/>
      <c r="I3" s="620"/>
      <c r="J3" s="620"/>
      <c r="K3" s="620"/>
      <c r="L3" s="620"/>
      <c r="M3" s="620"/>
      <c r="N3" s="621" t="s">
        <v>430</v>
      </c>
      <c r="O3" s="621"/>
      <c r="P3" s="93" t="s">
        <v>431</v>
      </c>
      <c r="Q3" s="622" t="s">
        <v>432</v>
      </c>
      <c r="R3" s="622"/>
      <c r="S3" s="623" t="s">
        <v>433</v>
      </c>
      <c r="T3" s="623"/>
      <c r="U3" s="623"/>
      <c r="V3" s="623"/>
      <c r="W3" s="623"/>
      <c r="X3" s="623"/>
      <c r="Y3" s="623"/>
    </row>
    <row r="4" spans="1:25" s="9" customFormat="1" ht="24.75" customHeight="1">
      <c r="A4" s="625"/>
      <c r="B4" s="11" t="s">
        <v>434</v>
      </c>
      <c r="C4" s="14" t="s">
        <v>435</v>
      </c>
      <c r="D4" s="14" t="s">
        <v>436</v>
      </c>
      <c r="E4" s="11" t="s">
        <v>427</v>
      </c>
      <c r="F4" s="94" t="s">
        <v>437</v>
      </c>
      <c r="G4" s="95" t="s">
        <v>438</v>
      </c>
      <c r="H4" s="96" t="s">
        <v>439</v>
      </c>
      <c r="I4" s="96" t="s">
        <v>440</v>
      </c>
      <c r="J4" s="95" t="s">
        <v>441</v>
      </c>
      <c r="K4" s="95" t="s">
        <v>442</v>
      </c>
      <c r="L4" s="96" t="s">
        <v>443</v>
      </c>
      <c r="M4" s="95" t="s">
        <v>444</v>
      </c>
      <c r="N4" s="267" t="s">
        <v>445</v>
      </c>
      <c r="O4" s="267" t="s">
        <v>446</v>
      </c>
      <c r="P4" s="268" t="s">
        <v>447</v>
      </c>
      <c r="Q4" s="269" t="s">
        <v>440</v>
      </c>
      <c r="R4" s="269" t="s">
        <v>448</v>
      </c>
      <c r="S4" s="270" t="s">
        <v>449</v>
      </c>
      <c r="T4" s="270" t="s">
        <v>450</v>
      </c>
      <c r="U4" s="270" t="s">
        <v>451</v>
      </c>
      <c r="V4" s="270" t="s">
        <v>439</v>
      </c>
      <c r="W4" s="270" t="s">
        <v>440</v>
      </c>
      <c r="X4" s="270" t="s">
        <v>452</v>
      </c>
      <c r="Y4" s="270" t="s">
        <v>453</v>
      </c>
    </row>
    <row r="5" spans="1:25">
      <c r="A5" s="15" t="s">
        <v>454</v>
      </c>
      <c r="B5" s="12" t="s">
        <v>455</v>
      </c>
      <c r="C5" s="12" t="s">
        <v>456</v>
      </c>
      <c r="D5" s="12" t="s">
        <v>457</v>
      </c>
      <c r="E5" s="12" t="s">
        <v>458</v>
      </c>
      <c r="F5" s="97">
        <v>100000</v>
      </c>
      <c r="G5" s="98"/>
      <c r="H5" s="98">
        <v>30000</v>
      </c>
      <c r="I5" s="98">
        <v>30000</v>
      </c>
      <c r="J5" s="98">
        <v>10000</v>
      </c>
      <c r="K5" s="98">
        <v>10000</v>
      </c>
      <c r="L5" s="98"/>
      <c r="M5" s="98"/>
      <c r="N5" s="271">
        <v>30000</v>
      </c>
      <c r="O5" s="271"/>
      <c r="P5" s="265" t="s">
        <v>459</v>
      </c>
      <c r="Q5" s="272">
        <v>10000</v>
      </c>
      <c r="R5" s="272"/>
      <c r="S5" s="273" t="s">
        <v>460</v>
      </c>
      <c r="T5" s="273" t="s">
        <v>460</v>
      </c>
      <c r="U5" s="273"/>
      <c r="V5" s="273" t="s">
        <v>460</v>
      </c>
      <c r="W5" s="273" t="s">
        <v>460</v>
      </c>
      <c r="X5" s="273" t="s">
        <v>461</v>
      </c>
      <c r="Y5" s="273"/>
    </row>
    <row r="6" spans="1:25">
      <c r="A6" s="15" t="s">
        <v>462</v>
      </c>
      <c r="B6" s="12" t="s">
        <v>455</v>
      </c>
      <c r="C6" s="12" t="s">
        <v>456</v>
      </c>
      <c r="D6" s="12" t="s">
        <v>457</v>
      </c>
      <c r="E6" s="12" t="s">
        <v>463</v>
      </c>
      <c r="F6" s="97">
        <v>30000</v>
      </c>
      <c r="G6" s="98"/>
      <c r="H6" s="98"/>
      <c r="I6" s="98">
        <v>10000</v>
      </c>
      <c r="J6" s="98">
        <v>5000</v>
      </c>
      <c r="K6" s="98">
        <v>5000</v>
      </c>
      <c r="L6" s="98"/>
      <c r="M6" s="98"/>
      <c r="N6" s="271">
        <v>20000</v>
      </c>
      <c r="O6" s="271"/>
      <c r="P6" s="274"/>
      <c r="Q6" s="272"/>
      <c r="R6" s="272"/>
      <c r="S6" s="273"/>
      <c r="T6" s="273" t="s">
        <v>460</v>
      </c>
      <c r="U6" s="273"/>
      <c r="V6" s="273"/>
      <c r="W6" s="273"/>
      <c r="X6" s="273"/>
      <c r="Y6" s="273"/>
    </row>
    <row r="7" spans="1:25">
      <c r="A7" s="15" t="s">
        <v>464</v>
      </c>
      <c r="B7" s="12" t="s">
        <v>455</v>
      </c>
      <c r="C7" s="12" t="s">
        <v>456</v>
      </c>
      <c r="D7" s="12" t="s">
        <v>457</v>
      </c>
      <c r="E7" s="12" t="s">
        <v>465</v>
      </c>
      <c r="F7" s="97">
        <v>30000</v>
      </c>
      <c r="G7" s="98"/>
      <c r="H7" s="98"/>
      <c r="I7" s="98">
        <v>10000</v>
      </c>
      <c r="J7" s="98">
        <v>5000</v>
      </c>
      <c r="K7" s="98">
        <v>5000</v>
      </c>
      <c r="L7" s="98"/>
      <c r="M7" s="98"/>
      <c r="N7" s="271">
        <v>20000</v>
      </c>
      <c r="O7" s="271"/>
      <c r="P7" s="274"/>
      <c r="Q7" s="272"/>
      <c r="R7" s="272"/>
      <c r="S7" s="273"/>
      <c r="T7" s="273" t="s">
        <v>460</v>
      </c>
      <c r="U7" s="273"/>
      <c r="V7" s="273"/>
      <c r="W7" s="273"/>
      <c r="X7" s="273"/>
      <c r="Y7" s="273"/>
    </row>
    <row r="8" spans="1:25">
      <c r="A8" s="15" t="s">
        <v>466</v>
      </c>
      <c r="B8" s="12" t="s">
        <v>455</v>
      </c>
      <c r="C8" s="12" t="s">
        <v>456</v>
      </c>
      <c r="D8" s="12" t="s">
        <v>457</v>
      </c>
      <c r="E8" s="12" t="s">
        <v>467</v>
      </c>
      <c r="F8" s="97">
        <v>20000</v>
      </c>
      <c r="G8" s="98"/>
      <c r="H8" s="98"/>
      <c r="I8" s="98">
        <v>10000</v>
      </c>
      <c r="J8" s="98">
        <v>5000</v>
      </c>
      <c r="K8" s="98">
        <v>5000</v>
      </c>
      <c r="L8" s="98"/>
      <c r="M8" s="98"/>
      <c r="N8" s="271">
        <v>20000</v>
      </c>
      <c r="O8" s="271"/>
      <c r="P8" s="274"/>
      <c r="Q8" s="272"/>
      <c r="R8" s="272"/>
      <c r="S8" s="273"/>
      <c r="T8" s="273" t="s">
        <v>460</v>
      </c>
      <c r="U8" s="273"/>
      <c r="V8" s="273"/>
      <c r="W8" s="273"/>
      <c r="X8" s="273"/>
      <c r="Y8" s="273"/>
    </row>
    <row r="9" spans="1:25">
      <c r="A9" s="15" t="s">
        <v>468</v>
      </c>
      <c r="B9" s="12" t="s">
        <v>455</v>
      </c>
      <c r="C9" s="12" t="s">
        <v>456</v>
      </c>
      <c r="D9" s="12" t="s">
        <v>457</v>
      </c>
      <c r="E9" s="12" t="s">
        <v>469</v>
      </c>
      <c r="F9" s="97"/>
      <c r="G9" s="98"/>
      <c r="H9" s="98"/>
      <c r="I9" s="98">
        <v>10000</v>
      </c>
      <c r="J9" s="98">
        <v>5000</v>
      </c>
      <c r="K9" s="98">
        <v>5000</v>
      </c>
      <c r="L9" s="98"/>
      <c r="M9" s="98"/>
      <c r="N9" s="271">
        <v>20000</v>
      </c>
      <c r="O9" s="271"/>
      <c r="P9" s="274"/>
      <c r="Q9" s="272"/>
      <c r="R9" s="272"/>
      <c r="S9" s="273"/>
      <c r="T9" s="273" t="s">
        <v>460</v>
      </c>
      <c r="U9" s="273"/>
      <c r="V9" s="273"/>
      <c r="W9" s="273"/>
      <c r="X9" s="273"/>
      <c r="Y9" s="273"/>
    </row>
    <row r="10" spans="1:25">
      <c r="A10" s="15" t="s">
        <v>470</v>
      </c>
      <c r="B10" s="12" t="s">
        <v>455</v>
      </c>
      <c r="C10" s="12" t="s">
        <v>456</v>
      </c>
      <c r="D10" s="12" t="s">
        <v>471</v>
      </c>
      <c r="E10" s="12" t="s">
        <v>458</v>
      </c>
      <c r="F10" s="97">
        <v>100000</v>
      </c>
      <c r="G10" s="98"/>
      <c r="H10" s="98">
        <v>30000</v>
      </c>
      <c r="I10" s="98">
        <v>30000</v>
      </c>
      <c r="J10" s="98">
        <v>10000</v>
      </c>
      <c r="K10" s="98">
        <v>10000</v>
      </c>
      <c r="L10" s="98">
        <v>10000</v>
      </c>
      <c r="M10" s="98"/>
      <c r="N10" s="271">
        <v>30000</v>
      </c>
      <c r="O10" s="271"/>
      <c r="P10" s="265" t="s">
        <v>459</v>
      </c>
      <c r="Q10" s="272">
        <v>10000</v>
      </c>
      <c r="R10" s="272"/>
      <c r="S10" s="273" t="s">
        <v>460</v>
      </c>
      <c r="T10" s="273" t="s">
        <v>460</v>
      </c>
      <c r="U10" s="273"/>
      <c r="V10" s="273" t="s">
        <v>460</v>
      </c>
      <c r="W10" s="273" t="s">
        <v>460</v>
      </c>
      <c r="X10" s="273" t="s">
        <v>460</v>
      </c>
      <c r="Y10" s="273"/>
    </row>
    <row r="11" spans="1:25">
      <c r="A11" s="15" t="s">
        <v>472</v>
      </c>
      <c r="B11" s="12" t="s">
        <v>455</v>
      </c>
      <c r="C11" s="12" t="s">
        <v>456</v>
      </c>
      <c r="D11" s="12" t="s">
        <v>471</v>
      </c>
      <c r="E11" s="12" t="s">
        <v>463</v>
      </c>
      <c r="F11" s="263">
        <v>30000</v>
      </c>
      <c r="G11" s="264"/>
      <c r="H11" s="264"/>
      <c r="I11" s="264">
        <v>10000</v>
      </c>
      <c r="J11" s="264">
        <v>5000</v>
      </c>
      <c r="K11" s="264">
        <v>5000</v>
      </c>
      <c r="L11" s="264">
        <v>5000</v>
      </c>
      <c r="M11" s="264"/>
      <c r="N11" s="271">
        <v>20000</v>
      </c>
      <c r="O11" s="271"/>
      <c r="P11" s="274"/>
      <c r="Q11" s="272"/>
      <c r="R11" s="272"/>
      <c r="S11" s="273"/>
      <c r="T11" s="273" t="s">
        <v>460</v>
      </c>
      <c r="U11" s="273"/>
      <c r="V11" s="273"/>
      <c r="W11" s="273"/>
      <c r="X11" s="273"/>
      <c r="Y11" s="273"/>
    </row>
    <row r="12" spans="1:25">
      <c r="A12" s="15" t="s">
        <v>473</v>
      </c>
      <c r="B12" s="12" t="s">
        <v>455</v>
      </c>
      <c r="C12" s="12" t="s">
        <v>456</v>
      </c>
      <c r="D12" s="12" t="s">
        <v>471</v>
      </c>
      <c r="E12" s="12" t="s">
        <v>465</v>
      </c>
      <c r="F12" s="263">
        <v>30000</v>
      </c>
      <c r="G12" s="264"/>
      <c r="H12" s="264"/>
      <c r="I12" s="264">
        <v>10000</v>
      </c>
      <c r="J12" s="264">
        <v>5000</v>
      </c>
      <c r="K12" s="264">
        <v>5000</v>
      </c>
      <c r="L12" s="264">
        <v>5000</v>
      </c>
      <c r="M12" s="264"/>
      <c r="N12" s="271">
        <v>20000</v>
      </c>
      <c r="O12" s="271"/>
      <c r="P12" s="274"/>
      <c r="Q12" s="272"/>
      <c r="R12" s="272"/>
      <c r="S12" s="273"/>
      <c r="T12" s="273" t="s">
        <v>460</v>
      </c>
      <c r="U12" s="273"/>
      <c r="V12" s="273"/>
      <c r="W12" s="273"/>
      <c r="X12" s="273"/>
      <c r="Y12" s="273"/>
    </row>
    <row r="13" spans="1:25">
      <c r="A13" s="15" t="s">
        <v>474</v>
      </c>
      <c r="B13" s="12" t="s">
        <v>455</v>
      </c>
      <c r="C13" s="12" t="s">
        <v>456</v>
      </c>
      <c r="D13" s="12" t="s">
        <v>471</v>
      </c>
      <c r="E13" s="12" t="s">
        <v>467</v>
      </c>
      <c r="F13" s="263">
        <v>20000</v>
      </c>
      <c r="G13" s="264"/>
      <c r="H13" s="264"/>
      <c r="I13" s="264">
        <v>10000</v>
      </c>
      <c r="J13" s="264">
        <v>5000</v>
      </c>
      <c r="K13" s="264">
        <v>5000</v>
      </c>
      <c r="L13" s="264">
        <v>5000</v>
      </c>
      <c r="M13" s="264"/>
      <c r="N13" s="271">
        <v>20000</v>
      </c>
      <c r="O13" s="271"/>
      <c r="P13" s="274"/>
      <c r="Q13" s="272"/>
      <c r="R13" s="272"/>
      <c r="S13" s="273"/>
      <c r="T13" s="273" t="s">
        <v>460</v>
      </c>
      <c r="U13" s="273"/>
      <c r="V13" s="273"/>
      <c r="W13" s="273"/>
      <c r="X13" s="273"/>
      <c r="Y13" s="273"/>
    </row>
    <row r="14" spans="1:25">
      <c r="A14" s="15" t="s">
        <v>475</v>
      </c>
      <c r="B14" s="12" t="s">
        <v>455</v>
      </c>
      <c r="C14" s="12" t="s">
        <v>456</v>
      </c>
      <c r="D14" s="12" t="s">
        <v>471</v>
      </c>
      <c r="E14" s="12" t="s">
        <v>469</v>
      </c>
      <c r="F14" s="263"/>
      <c r="G14" s="264"/>
      <c r="H14" s="264"/>
      <c r="I14" s="264">
        <v>10000</v>
      </c>
      <c r="J14" s="264">
        <v>5000</v>
      </c>
      <c r="K14" s="264">
        <v>5000</v>
      </c>
      <c r="L14" s="264">
        <v>5000</v>
      </c>
      <c r="M14" s="264"/>
      <c r="N14" s="271">
        <v>20000</v>
      </c>
      <c r="O14" s="271"/>
      <c r="P14" s="274"/>
      <c r="Q14" s="272"/>
      <c r="R14" s="272"/>
      <c r="S14" s="273"/>
      <c r="T14" s="273" t="s">
        <v>460</v>
      </c>
      <c r="U14" s="273"/>
      <c r="V14" s="273"/>
      <c r="W14" s="273"/>
      <c r="X14" s="273"/>
      <c r="Y14" s="273"/>
    </row>
    <row r="15" spans="1:25">
      <c r="A15" s="15" t="s">
        <v>476</v>
      </c>
      <c r="B15" s="12" t="s">
        <v>455</v>
      </c>
      <c r="C15" s="12" t="s">
        <v>456</v>
      </c>
      <c r="D15" s="12" t="s">
        <v>477</v>
      </c>
      <c r="E15" s="12" t="s">
        <v>458</v>
      </c>
      <c r="F15" s="263">
        <v>100000</v>
      </c>
      <c r="G15" s="264"/>
      <c r="H15" s="264">
        <v>30000</v>
      </c>
      <c r="I15" s="264">
        <v>30000</v>
      </c>
      <c r="J15" s="264">
        <v>10000</v>
      </c>
      <c r="K15" s="264">
        <v>10000</v>
      </c>
      <c r="L15" s="264">
        <v>10000</v>
      </c>
      <c r="M15" s="264">
        <v>20000</v>
      </c>
      <c r="N15" s="271">
        <v>30000</v>
      </c>
      <c r="O15" s="271"/>
      <c r="P15" s="265" t="s">
        <v>459</v>
      </c>
      <c r="Q15" s="272">
        <v>10000</v>
      </c>
      <c r="R15" s="272"/>
      <c r="S15" s="273" t="s">
        <v>460</v>
      </c>
      <c r="T15" s="273" t="s">
        <v>460</v>
      </c>
      <c r="U15" s="273"/>
      <c r="V15" s="273" t="s">
        <v>460</v>
      </c>
      <c r="W15" s="273" t="s">
        <v>460</v>
      </c>
      <c r="X15" s="273" t="s">
        <v>460</v>
      </c>
      <c r="Y15" s="273"/>
    </row>
    <row r="16" spans="1:25">
      <c r="A16" s="15" t="s">
        <v>478</v>
      </c>
      <c r="B16" s="12" t="s">
        <v>455</v>
      </c>
      <c r="C16" s="12" t="s">
        <v>456</v>
      </c>
      <c r="D16" s="12" t="s">
        <v>477</v>
      </c>
      <c r="E16" s="12" t="s">
        <v>463</v>
      </c>
      <c r="F16" s="263">
        <v>30000</v>
      </c>
      <c r="G16" s="264"/>
      <c r="H16" s="264"/>
      <c r="I16" s="264">
        <v>10000</v>
      </c>
      <c r="J16" s="264">
        <v>5000</v>
      </c>
      <c r="K16" s="264">
        <v>5000</v>
      </c>
      <c r="L16" s="264">
        <v>5000</v>
      </c>
      <c r="M16" s="264">
        <v>10000</v>
      </c>
      <c r="N16" s="271">
        <v>20000</v>
      </c>
      <c r="O16" s="271"/>
      <c r="P16" s="274"/>
      <c r="Q16" s="272"/>
      <c r="R16" s="272"/>
      <c r="S16" s="273"/>
      <c r="T16" s="273" t="s">
        <v>460</v>
      </c>
      <c r="U16" s="273"/>
      <c r="V16" s="273"/>
      <c r="W16" s="273"/>
      <c r="X16" s="273"/>
      <c r="Y16" s="273"/>
    </row>
    <row r="17" spans="1:25">
      <c r="A17" s="15" t="s">
        <v>479</v>
      </c>
      <c r="B17" s="12" t="s">
        <v>455</v>
      </c>
      <c r="C17" s="12" t="s">
        <v>456</v>
      </c>
      <c r="D17" s="12" t="s">
        <v>477</v>
      </c>
      <c r="E17" s="12" t="s">
        <v>465</v>
      </c>
      <c r="F17" s="263">
        <v>30000</v>
      </c>
      <c r="G17" s="264"/>
      <c r="H17" s="264"/>
      <c r="I17" s="264">
        <v>10000</v>
      </c>
      <c r="J17" s="264">
        <v>5000</v>
      </c>
      <c r="K17" s="264">
        <v>5000</v>
      </c>
      <c r="L17" s="264">
        <v>5000</v>
      </c>
      <c r="M17" s="264">
        <v>10000</v>
      </c>
      <c r="N17" s="271">
        <v>20000</v>
      </c>
      <c r="O17" s="271"/>
      <c r="P17" s="274"/>
      <c r="Q17" s="272"/>
      <c r="R17" s="272"/>
      <c r="S17" s="273"/>
      <c r="T17" s="273" t="s">
        <v>460</v>
      </c>
      <c r="U17" s="273"/>
      <c r="V17" s="273"/>
      <c r="W17" s="273"/>
      <c r="X17" s="273"/>
      <c r="Y17" s="273"/>
    </row>
    <row r="18" spans="1:25">
      <c r="A18" s="15" t="s">
        <v>480</v>
      </c>
      <c r="B18" s="12" t="s">
        <v>455</v>
      </c>
      <c r="C18" s="12" t="s">
        <v>456</v>
      </c>
      <c r="D18" s="12" t="s">
        <v>477</v>
      </c>
      <c r="E18" s="12" t="s">
        <v>467</v>
      </c>
      <c r="F18" s="263">
        <v>20000</v>
      </c>
      <c r="G18" s="264"/>
      <c r="H18" s="264"/>
      <c r="I18" s="264">
        <v>10000</v>
      </c>
      <c r="J18" s="264">
        <v>5000</v>
      </c>
      <c r="K18" s="264">
        <v>5000</v>
      </c>
      <c r="L18" s="264">
        <v>5000</v>
      </c>
      <c r="M18" s="264">
        <v>10000</v>
      </c>
      <c r="N18" s="271">
        <v>20000</v>
      </c>
      <c r="O18" s="271"/>
      <c r="P18" s="274"/>
      <c r="Q18" s="272"/>
      <c r="R18" s="272"/>
      <c r="S18" s="273"/>
      <c r="T18" s="273" t="s">
        <v>460</v>
      </c>
      <c r="U18" s="273"/>
      <c r="V18" s="273"/>
      <c r="W18" s="273"/>
      <c r="X18" s="273"/>
      <c r="Y18" s="273"/>
    </row>
    <row r="19" spans="1:25">
      <c r="A19" s="15" t="s">
        <v>481</v>
      </c>
      <c r="B19" s="12" t="s">
        <v>455</v>
      </c>
      <c r="C19" s="12" t="s">
        <v>456</v>
      </c>
      <c r="D19" s="12" t="s">
        <v>477</v>
      </c>
      <c r="E19" s="12" t="s">
        <v>469</v>
      </c>
      <c r="F19" s="263"/>
      <c r="G19" s="264"/>
      <c r="H19" s="264"/>
      <c r="I19" s="264">
        <v>10000</v>
      </c>
      <c r="J19" s="264">
        <v>5000</v>
      </c>
      <c r="K19" s="264">
        <v>5000</v>
      </c>
      <c r="L19" s="264">
        <v>5000</v>
      </c>
      <c r="M19" s="264">
        <v>10000</v>
      </c>
      <c r="N19" s="271">
        <v>20000</v>
      </c>
      <c r="O19" s="271"/>
      <c r="P19" s="274"/>
      <c r="Q19" s="272"/>
      <c r="R19" s="272"/>
      <c r="S19" s="273"/>
      <c r="T19" s="273" t="s">
        <v>460</v>
      </c>
      <c r="U19" s="273"/>
      <c r="V19" s="273"/>
      <c r="W19" s="273"/>
      <c r="X19" s="273"/>
      <c r="Y19" s="273"/>
    </row>
    <row r="20" spans="1:25">
      <c r="A20" s="15" t="s">
        <v>482</v>
      </c>
      <c r="B20" s="12" t="s">
        <v>455</v>
      </c>
      <c r="C20" s="12" t="s">
        <v>456</v>
      </c>
      <c r="D20" s="12" t="s">
        <v>483</v>
      </c>
      <c r="E20" s="12" t="s">
        <v>458</v>
      </c>
      <c r="F20" s="263">
        <v>100000</v>
      </c>
      <c r="G20" s="264"/>
      <c r="H20" s="264">
        <v>30000</v>
      </c>
      <c r="I20" s="264">
        <v>30000</v>
      </c>
      <c r="J20" s="264">
        <v>10000</v>
      </c>
      <c r="K20" s="264">
        <v>10000</v>
      </c>
      <c r="L20" s="264">
        <v>10000</v>
      </c>
      <c r="M20" s="264">
        <v>20000</v>
      </c>
      <c r="N20" s="271">
        <v>30000</v>
      </c>
      <c r="O20" s="271"/>
      <c r="P20" s="265" t="s">
        <v>484</v>
      </c>
      <c r="Q20" s="272">
        <v>10000</v>
      </c>
      <c r="R20" s="272"/>
      <c r="S20" s="273" t="s">
        <v>460</v>
      </c>
      <c r="T20" s="273" t="s">
        <v>460</v>
      </c>
      <c r="U20" s="273"/>
      <c r="V20" s="273" t="s">
        <v>460</v>
      </c>
      <c r="W20" s="273" t="s">
        <v>460</v>
      </c>
      <c r="X20" s="273" t="s">
        <v>460</v>
      </c>
      <c r="Y20" s="273"/>
    </row>
    <row r="21" spans="1:25">
      <c r="A21" s="15" t="s">
        <v>485</v>
      </c>
      <c r="B21" s="12" t="s">
        <v>455</v>
      </c>
      <c r="C21" s="12" t="s">
        <v>456</v>
      </c>
      <c r="D21" s="12" t="s">
        <v>483</v>
      </c>
      <c r="E21" s="12" t="s">
        <v>463</v>
      </c>
      <c r="F21" s="263">
        <v>30000</v>
      </c>
      <c r="G21" s="264"/>
      <c r="H21" s="264"/>
      <c r="I21" s="264">
        <v>10000</v>
      </c>
      <c r="J21" s="264">
        <v>5000</v>
      </c>
      <c r="K21" s="264">
        <v>5000</v>
      </c>
      <c r="L21" s="264">
        <v>5000</v>
      </c>
      <c r="M21" s="264">
        <v>10000</v>
      </c>
      <c r="N21" s="271">
        <v>20000</v>
      </c>
      <c r="O21" s="271"/>
      <c r="P21" s="274"/>
      <c r="Q21" s="272"/>
      <c r="R21" s="272"/>
      <c r="S21" s="273"/>
      <c r="T21" s="273" t="s">
        <v>460</v>
      </c>
      <c r="U21" s="273"/>
      <c r="V21" s="273"/>
      <c r="W21" s="273"/>
      <c r="X21" s="273"/>
      <c r="Y21" s="273"/>
    </row>
    <row r="22" spans="1:25">
      <c r="A22" s="15" t="s">
        <v>486</v>
      </c>
      <c r="B22" s="12" t="s">
        <v>455</v>
      </c>
      <c r="C22" s="12" t="s">
        <v>456</v>
      </c>
      <c r="D22" s="12" t="s">
        <v>483</v>
      </c>
      <c r="E22" s="12" t="s">
        <v>465</v>
      </c>
      <c r="F22" s="263">
        <v>30000</v>
      </c>
      <c r="G22" s="264"/>
      <c r="H22" s="264"/>
      <c r="I22" s="264">
        <v>10000</v>
      </c>
      <c r="J22" s="264">
        <v>5000</v>
      </c>
      <c r="K22" s="264">
        <v>5000</v>
      </c>
      <c r="L22" s="264">
        <v>5000</v>
      </c>
      <c r="M22" s="264">
        <v>10000</v>
      </c>
      <c r="N22" s="271">
        <v>20000</v>
      </c>
      <c r="O22" s="271"/>
      <c r="P22" s="274"/>
      <c r="Q22" s="272"/>
      <c r="R22" s="272"/>
      <c r="S22" s="273"/>
      <c r="T22" s="273" t="s">
        <v>460</v>
      </c>
      <c r="U22" s="273"/>
      <c r="V22" s="273"/>
      <c r="W22" s="273"/>
      <c r="X22" s="273"/>
      <c r="Y22" s="273"/>
    </row>
    <row r="23" spans="1:25">
      <c r="A23" s="15" t="s">
        <v>487</v>
      </c>
      <c r="B23" s="12" t="s">
        <v>455</v>
      </c>
      <c r="C23" s="12" t="s">
        <v>456</v>
      </c>
      <c r="D23" s="12" t="s">
        <v>483</v>
      </c>
      <c r="E23" s="12" t="s">
        <v>467</v>
      </c>
      <c r="F23" s="263">
        <v>20000</v>
      </c>
      <c r="G23" s="264"/>
      <c r="H23" s="264"/>
      <c r="I23" s="264">
        <v>10000</v>
      </c>
      <c r="J23" s="264">
        <v>5000</v>
      </c>
      <c r="K23" s="264">
        <v>5000</v>
      </c>
      <c r="L23" s="264">
        <v>5000</v>
      </c>
      <c r="M23" s="264">
        <v>10000</v>
      </c>
      <c r="N23" s="271">
        <v>20000</v>
      </c>
      <c r="O23" s="271"/>
      <c r="P23" s="274"/>
      <c r="Q23" s="272"/>
      <c r="R23" s="272"/>
      <c r="S23" s="273"/>
      <c r="T23" s="273" t="s">
        <v>460</v>
      </c>
      <c r="U23" s="273"/>
      <c r="V23" s="273"/>
      <c r="W23" s="273"/>
      <c r="X23" s="273"/>
      <c r="Y23" s="273"/>
    </row>
    <row r="24" spans="1:25">
      <c r="A24" s="15" t="s">
        <v>488</v>
      </c>
      <c r="B24" s="12" t="s">
        <v>455</v>
      </c>
      <c r="C24" s="12" t="s">
        <v>456</v>
      </c>
      <c r="D24" s="12" t="s">
        <v>483</v>
      </c>
      <c r="E24" s="12" t="s">
        <v>469</v>
      </c>
      <c r="F24" s="263"/>
      <c r="G24" s="264"/>
      <c r="H24" s="264"/>
      <c r="I24" s="264">
        <v>10000</v>
      </c>
      <c r="J24" s="264">
        <v>5000</v>
      </c>
      <c r="K24" s="264">
        <v>5000</v>
      </c>
      <c r="L24" s="264">
        <v>5000</v>
      </c>
      <c r="M24" s="264">
        <v>10000</v>
      </c>
      <c r="N24" s="271">
        <v>20000</v>
      </c>
      <c r="O24" s="271"/>
      <c r="P24" s="274"/>
      <c r="Q24" s="272"/>
      <c r="R24" s="272"/>
      <c r="S24" s="273"/>
      <c r="T24" s="273" t="s">
        <v>460</v>
      </c>
      <c r="U24" s="273"/>
      <c r="V24" s="273"/>
      <c r="W24" s="273"/>
      <c r="X24" s="273"/>
      <c r="Y24" s="273"/>
    </row>
    <row r="25" spans="1:25">
      <c r="A25" s="279" t="s">
        <v>489</v>
      </c>
      <c r="B25" s="12" t="s">
        <v>455</v>
      </c>
      <c r="C25" s="12" t="s">
        <v>456</v>
      </c>
      <c r="D25" s="266" t="s">
        <v>490</v>
      </c>
      <c r="E25" s="12" t="s">
        <v>458</v>
      </c>
      <c r="F25" s="263">
        <v>100000</v>
      </c>
      <c r="G25" s="264"/>
      <c r="H25" s="264">
        <v>30000</v>
      </c>
      <c r="I25" s="264">
        <v>30000</v>
      </c>
      <c r="J25" s="264">
        <v>10000</v>
      </c>
      <c r="K25" s="264">
        <v>10000</v>
      </c>
      <c r="L25" s="264">
        <v>10000</v>
      </c>
      <c r="M25" s="264">
        <v>20000</v>
      </c>
      <c r="N25" s="271">
        <v>30000</v>
      </c>
      <c r="O25" s="271"/>
      <c r="P25" s="265" t="s">
        <v>484</v>
      </c>
      <c r="Q25" s="272">
        <v>10000</v>
      </c>
      <c r="R25" s="272"/>
      <c r="S25" s="273" t="s">
        <v>460</v>
      </c>
      <c r="T25" s="273" t="s">
        <v>460</v>
      </c>
      <c r="U25" s="273"/>
      <c r="V25" s="273" t="s">
        <v>460</v>
      </c>
      <c r="W25" s="273" t="s">
        <v>460</v>
      </c>
      <c r="X25" s="273" t="s">
        <v>460</v>
      </c>
      <c r="Y25" s="273"/>
    </row>
    <row r="26" spans="1:25">
      <c r="A26" s="279" t="s">
        <v>491</v>
      </c>
      <c r="B26" s="12" t="s">
        <v>455</v>
      </c>
      <c r="C26" s="12" t="s">
        <v>456</v>
      </c>
      <c r="D26" s="266" t="s">
        <v>490</v>
      </c>
      <c r="E26" s="12" t="s">
        <v>463</v>
      </c>
      <c r="F26" s="263">
        <v>30000</v>
      </c>
      <c r="G26" s="264"/>
      <c r="H26" s="264"/>
      <c r="I26" s="264">
        <v>10000</v>
      </c>
      <c r="J26" s="264">
        <v>5000</v>
      </c>
      <c r="K26" s="264">
        <v>5000</v>
      </c>
      <c r="L26" s="264">
        <v>5000</v>
      </c>
      <c r="M26" s="264">
        <v>10000</v>
      </c>
      <c r="N26" s="271">
        <v>20000</v>
      </c>
      <c r="O26" s="271"/>
      <c r="P26" s="274"/>
      <c r="Q26" s="272"/>
      <c r="R26" s="272"/>
      <c r="S26" s="273"/>
      <c r="T26" s="273" t="s">
        <v>460</v>
      </c>
      <c r="U26" s="273"/>
      <c r="V26" s="273"/>
      <c r="W26" s="273"/>
      <c r="X26" s="273"/>
      <c r="Y26" s="273"/>
    </row>
    <row r="27" spans="1:25">
      <c r="A27" s="279" t="s">
        <v>492</v>
      </c>
      <c r="B27" s="12" t="s">
        <v>455</v>
      </c>
      <c r="C27" s="12" t="s">
        <v>456</v>
      </c>
      <c r="D27" s="266" t="s">
        <v>490</v>
      </c>
      <c r="E27" s="12" t="s">
        <v>465</v>
      </c>
      <c r="F27" s="263">
        <v>30000</v>
      </c>
      <c r="G27" s="264"/>
      <c r="H27" s="264"/>
      <c r="I27" s="264">
        <v>10000</v>
      </c>
      <c r="J27" s="264">
        <v>5000</v>
      </c>
      <c r="K27" s="264">
        <v>5000</v>
      </c>
      <c r="L27" s="264">
        <v>5000</v>
      </c>
      <c r="M27" s="264">
        <v>10000</v>
      </c>
      <c r="N27" s="271">
        <v>20000</v>
      </c>
      <c r="O27" s="271"/>
      <c r="P27" s="274"/>
      <c r="Q27" s="272"/>
      <c r="R27" s="272"/>
      <c r="S27" s="273"/>
      <c r="T27" s="273" t="s">
        <v>460</v>
      </c>
      <c r="U27" s="273"/>
      <c r="V27" s="273"/>
      <c r="W27" s="273"/>
      <c r="X27" s="273"/>
      <c r="Y27" s="273"/>
    </row>
    <row r="28" spans="1:25">
      <c r="A28" s="279" t="s">
        <v>493</v>
      </c>
      <c r="B28" s="12" t="s">
        <v>455</v>
      </c>
      <c r="C28" s="12" t="s">
        <v>456</v>
      </c>
      <c r="D28" s="266" t="s">
        <v>490</v>
      </c>
      <c r="E28" s="12" t="s">
        <v>467</v>
      </c>
      <c r="F28" s="263">
        <v>20000</v>
      </c>
      <c r="G28" s="264"/>
      <c r="H28" s="264"/>
      <c r="I28" s="264">
        <v>10000</v>
      </c>
      <c r="J28" s="264">
        <v>5000</v>
      </c>
      <c r="K28" s="264">
        <v>5000</v>
      </c>
      <c r="L28" s="264">
        <v>5000</v>
      </c>
      <c r="M28" s="264">
        <v>10000</v>
      </c>
      <c r="N28" s="271">
        <v>20000</v>
      </c>
      <c r="O28" s="271"/>
      <c r="P28" s="274"/>
      <c r="Q28" s="272"/>
      <c r="R28" s="272"/>
      <c r="S28" s="273"/>
      <c r="T28" s="273" t="s">
        <v>460</v>
      </c>
      <c r="U28" s="273"/>
      <c r="V28" s="273"/>
      <c r="W28" s="273"/>
      <c r="X28" s="273"/>
      <c r="Y28" s="273"/>
    </row>
    <row r="29" spans="1:25">
      <c r="A29" s="279" t="s">
        <v>494</v>
      </c>
      <c r="B29" s="12" t="s">
        <v>455</v>
      </c>
      <c r="C29" s="12" t="s">
        <v>456</v>
      </c>
      <c r="D29" s="266" t="s">
        <v>490</v>
      </c>
      <c r="E29" s="12" t="s">
        <v>469</v>
      </c>
      <c r="F29" s="263"/>
      <c r="G29" s="264"/>
      <c r="H29" s="264"/>
      <c r="I29" s="264">
        <v>10000</v>
      </c>
      <c r="J29" s="264">
        <v>5000</v>
      </c>
      <c r="K29" s="264">
        <v>5000</v>
      </c>
      <c r="L29" s="264">
        <v>5000</v>
      </c>
      <c r="M29" s="264">
        <v>10000</v>
      </c>
      <c r="N29" s="271">
        <v>20000</v>
      </c>
      <c r="O29" s="271"/>
      <c r="P29" s="274"/>
      <c r="Q29" s="272"/>
      <c r="R29" s="272"/>
      <c r="S29" s="273"/>
      <c r="T29" s="273" t="s">
        <v>460</v>
      </c>
      <c r="U29" s="273"/>
      <c r="V29" s="273"/>
      <c r="W29" s="273"/>
      <c r="X29" s="273"/>
      <c r="Y29" s="273"/>
    </row>
    <row r="30" spans="1:25">
      <c r="A30" s="15" t="s">
        <v>495</v>
      </c>
      <c r="B30" s="12" t="s">
        <v>455</v>
      </c>
      <c r="C30" s="12" t="s">
        <v>456</v>
      </c>
      <c r="D30" s="12" t="s">
        <v>496</v>
      </c>
      <c r="E30" s="12" t="s">
        <v>458</v>
      </c>
      <c r="F30" s="263">
        <v>100000</v>
      </c>
      <c r="G30" s="264"/>
      <c r="H30" s="264">
        <v>30000</v>
      </c>
      <c r="I30" s="264">
        <v>30000</v>
      </c>
      <c r="J30" s="264">
        <v>10000</v>
      </c>
      <c r="K30" s="264">
        <v>10000</v>
      </c>
      <c r="L30" s="264">
        <v>10000</v>
      </c>
      <c r="M30" s="264">
        <v>20000</v>
      </c>
      <c r="N30" s="271">
        <v>30000</v>
      </c>
      <c r="O30" s="271"/>
      <c r="P30" s="265" t="s">
        <v>484</v>
      </c>
      <c r="Q30" s="272">
        <v>10000</v>
      </c>
      <c r="R30" s="272"/>
      <c r="S30" s="273" t="s">
        <v>460</v>
      </c>
      <c r="T30" s="273" t="s">
        <v>460</v>
      </c>
      <c r="U30" s="273"/>
      <c r="V30" s="273" t="s">
        <v>460</v>
      </c>
      <c r="W30" s="273" t="s">
        <v>460</v>
      </c>
      <c r="X30" s="273" t="s">
        <v>460</v>
      </c>
      <c r="Y30" s="273"/>
    </row>
    <row r="31" spans="1:25">
      <c r="A31" s="15" t="s">
        <v>497</v>
      </c>
      <c r="B31" s="12" t="s">
        <v>455</v>
      </c>
      <c r="C31" s="12" t="s">
        <v>456</v>
      </c>
      <c r="D31" s="12" t="s">
        <v>496</v>
      </c>
      <c r="E31" s="12" t="s">
        <v>463</v>
      </c>
      <c r="F31" s="263">
        <v>30000</v>
      </c>
      <c r="G31" s="264"/>
      <c r="H31" s="264"/>
      <c r="I31" s="264">
        <v>10000</v>
      </c>
      <c r="J31" s="264">
        <v>5000</v>
      </c>
      <c r="K31" s="264">
        <v>5000</v>
      </c>
      <c r="L31" s="264">
        <v>5000</v>
      </c>
      <c r="M31" s="264">
        <v>10000</v>
      </c>
      <c r="N31" s="271">
        <v>20000</v>
      </c>
      <c r="O31" s="271"/>
      <c r="P31" s="274"/>
      <c r="Q31" s="272"/>
      <c r="R31" s="272"/>
      <c r="S31" s="273"/>
      <c r="T31" s="273" t="s">
        <v>460</v>
      </c>
      <c r="U31" s="273"/>
      <c r="V31" s="273"/>
      <c r="W31" s="273"/>
      <c r="X31" s="273"/>
      <c r="Y31" s="273"/>
    </row>
    <row r="32" spans="1:25">
      <c r="A32" s="15" t="s">
        <v>498</v>
      </c>
      <c r="B32" s="12" t="s">
        <v>455</v>
      </c>
      <c r="C32" s="12" t="s">
        <v>456</v>
      </c>
      <c r="D32" s="12" t="s">
        <v>496</v>
      </c>
      <c r="E32" s="12" t="s">
        <v>465</v>
      </c>
      <c r="F32" s="263">
        <v>30000</v>
      </c>
      <c r="G32" s="264"/>
      <c r="H32" s="264"/>
      <c r="I32" s="264">
        <v>10000</v>
      </c>
      <c r="J32" s="264">
        <v>5000</v>
      </c>
      <c r="K32" s="264">
        <v>5000</v>
      </c>
      <c r="L32" s="264">
        <v>5000</v>
      </c>
      <c r="M32" s="264">
        <v>10000</v>
      </c>
      <c r="N32" s="271">
        <v>20000</v>
      </c>
      <c r="O32" s="271"/>
      <c r="P32" s="274"/>
      <c r="Q32" s="272"/>
      <c r="R32" s="272"/>
      <c r="S32" s="273"/>
      <c r="T32" s="273" t="s">
        <v>460</v>
      </c>
      <c r="U32" s="273"/>
      <c r="V32" s="273"/>
      <c r="W32" s="273"/>
      <c r="X32" s="273"/>
      <c r="Y32" s="273"/>
    </row>
    <row r="33" spans="1:25">
      <c r="A33" s="15" t="s">
        <v>499</v>
      </c>
      <c r="B33" s="12" t="s">
        <v>455</v>
      </c>
      <c r="C33" s="12" t="s">
        <v>456</v>
      </c>
      <c r="D33" s="12" t="s">
        <v>496</v>
      </c>
      <c r="E33" s="12" t="s">
        <v>467</v>
      </c>
      <c r="F33" s="263">
        <v>20000</v>
      </c>
      <c r="G33" s="264"/>
      <c r="H33" s="264"/>
      <c r="I33" s="264">
        <v>10000</v>
      </c>
      <c r="J33" s="264">
        <v>5000</v>
      </c>
      <c r="K33" s="264">
        <v>5000</v>
      </c>
      <c r="L33" s="264">
        <v>5000</v>
      </c>
      <c r="M33" s="264">
        <v>10000</v>
      </c>
      <c r="N33" s="271">
        <v>20000</v>
      </c>
      <c r="O33" s="271"/>
      <c r="P33" s="274"/>
      <c r="Q33" s="272"/>
      <c r="R33" s="272"/>
      <c r="S33" s="273"/>
      <c r="T33" s="273" t="s">
        <v>460</v>
      </c>
      <c r="U33" s="273"/>
      <c r="V33" s="273"/>
      <c r="W33" s="273"/>
      <c r="X33" s="273"/>
      <c r="Y33" s="273"/>
    </row>
    <row r="34" spans="1:25">
      <c r="A34" s="15" t="s">
        <v>500</v>
      </c>
      <c r="B34" s="12" t="s">
        <v>455</v>
      </c>
      <c r="C34" s="12" t="s">
        <v>456</v>
      </c>
      <c r="D34" s="12" t="s">
        <v>496</v>
      </c>
      <c r="E34" s="12" t="s">
        <v>469</v>
      </c>
      <c r="F34" s="263"/>
      <c r="G34" s="264"/>
      <c r="H34" s="264"/>
      <c r="I34" s="264">
        <v>10000</v>
      </c>
      <c r="J34" s="264">
        <v>5000</v>
      </c>
      <c r="K34" s="264">
        <v>5000</v>
      </c>
      <c r="L34" s="264">
        <v>5000</v>
      </c>
      <c r="M34" s="264">
        <v>10000</v>
      </c>
      <c r="N34" s="271">
        <v>20000</v>
      </c>
      <c r="O34" s="271"/>
      <c r="P34" s="274"/>
      <c r="Q34" s="272"/>
      <c r="R34" s="272"/>
      <c r="S34" s="273"/>
      <c r="T34" s="273" t="s">
        <v>460</v>
      </c>
      <c r="U34" s="273"/>
      <c r="V34" s="273"/>
      <c r="W34" s="273"/>
      <c r="X34" s="273"/>
      <c r="Y34" s="273"/>
    </row>
    <row r="35" spans="1:25">
      <c r="A35" s="15" t="s">
        <v>501</v>
      </c>
      <c r="B35" s="12" t="s">
        <v>455</v>
      </c>
      <c r="C35" s="12" t="s">
        <v>456</v>
      </c>
      <c r="D35" s="12" t="s">
        <v>502</v>
      </c>
      <c r="E35" s="12" t="s">
        <v>458</v>
      </c>
      <c r="F35" s="263">
        <v>100000</v>
      </c>
      <c r="G35" s="264"/>
      <c r="H35" s="264">
        <v>30000</v>
      </c>
      <c r="I35" s="264">
        <v>30000</v>
      </c>
      <c r="J35" s="264">
        <v>10000</v>
      </c>
      <c r="K35" s="264">
        <v>10000</v>
      </c>
      <c r="L35" s="264">
        <v>10000</v>
      </c>
      <c r="M35" s="264">
        <v>20000</v>
      </c>
      <c r="N35" s="271">
        <v>30000</v>
      </c>
      <c r="O35" s="271"/>
      <c r="P35" s="265" t="s">
        <v>484</v>
      </c>
      <c r="Q35" s="272">
        <v>10000</v>
      </c>
      <c r="R35" s="272"/>
      <c r="S35" s="273" t="s">
        <v>460</v>
      </c>
      <c r="T35" s="273" t="s">
        <v>460</v>
      </c>
      <c r="U35" s="273"/>
      <c r="V35" s="273" t="s">
        <v>460</v>
      </c>
      <c r="W35" s="273" t="s">
        <v>460</v>
      </c>
      <c r="X35" s="273" t="s">
        <v>460</v>
      </c>
      <c r="Y35" s="273"/>
    </row>
    <row r="36" spans="1:25">
      <c r="A36" s="15" t="s">
        <v>503</v>
      </c>
      <c r="B36" s="12" t="s">
        <v>455</v>
      </c>
      <c r="C36" s="12" t="s">
        <v>456</v>
      </c>
      <c r="D36" s="12" t="s">
        <v>502</v>
      </c>
      <c r="E36" s="12" t="s">
        <v>463</v>
      </c>
      <c r="F36" s="263">
        <v>30000</v>
      </c>
      <c r="G36" s="264"/>
      <c r="H36" s="264"/>
      <c r="I36" s="264">
        <v>10000</v>
      </c>
      <c r="J36" s="264">
        <v>5000</v>
      </c>
      <c r="K36" s="264">
        <v>5000</v>
      </c>
      <c r="L36" s="264">
        <v>5000</v>
      </c>
      <c r="M36" s="264">
        <v>10000</v>
      </c>
      <c r="N36" s="271">
        <v>20000</v>
      </c>
      <c r="O36" s="271"/>
      <c r="P36" s="274"/>
      <c r="Q36" s="272"/>
      <c r="R36" s="272"/>
      <c r="S36" s="273"/>
      <c r="T36" s="273" t="s">
        <v>460</v>
      </c>
      <c r="U36" s="273"/>
      <c r="V36" s="273"/>
      <c r="W36" s="273"/>
      <c r="X36" s="273"/>
      <c r="Y36" s="273"/>
    </row>
    <row r="37" spans="1:25">
      <c r="A37" s="15" t="s">
        <v>504</v>
      </c>
      <c r="B37" s="12" t="s">
        <v>455</v>
      </c>
      <c r="C37" s="12" t="s">
        <v>456</v>
      </c>
      <c r="D37" s="12" t="s">
        <v>502</v>
      </c>
      <c r="E37" s="12" t="s">
        <v>465</v>
      </c>
      <c r="F37" s="263">
        <v>30000</v>
      </c>
      <c r="G37" s="264"/>
      <c r="H37" s="264"/>
      <c r="I37" s="264">
        <v>10000</v>
      </c>
      <c r="J37" s="264">
        <v>5000</v>
      </c>
      <c r="K37" s="264">
        <v>5000</v>
      </c>
      <c r="L37" s="264">
        <v>5000</v>
      </c>
      <c r="M37" s="264">
        <v>10000</v>
      </c>
      <c r="N37" s="271">
        <v>20000</v>
      </c>
      <c r="O37" s="271"/>
      <c r="P37" s="274"/>
      <c r="Q37" s="272"/>
      <c r="R37" s="272"/>
      <c r="S37" s="273"/>
      <c r="T37" s="273" t="s">
        <v>460</v>
      </c>
      <c r="U37" s="273"/>
      <c r="V37" s="273"/>
      <c r="W37" s="273"/>
      <c r="X37" s="273"/>
      <c r="Y37" s="273"/>
    </row>
    <row r="38" spans="1:25">
      <c r="A38" s="15" t="s">
        <v>505</v>
      </c>
      <c r="B38" s="12" t="s">
        <v>455</v>
      </c>
      <c r="C38" s="12" t="s">
        <v>456</v>
      </c>
      <c r="D38" s="12" t="s">
        <v>502</v>
      </c>
      <c r="E38" s="12" t="s">
        <v>467</v>
      </c>
      <c r="F38" s="263">
        <v>20000</v>
      </c>
      <c r="G38" s="264"/>
      <c r="H38" s="264"/>
      <c r="I38" s="264">
        <v>10000</v>
      </c>
      <c r="J38" s="264">
        <v>5000</v>
      </c>
      <c r="K38" s="264">
        <v>5000</v>
      </c>
      <c r="L38" s="264">
        <v>5000</v>
      </c>
      <c r="M38" s="264">
        <v>10000</v>
      </c>
      <c r="N38" s="271">
        <v>20000</v>
      </c>
      <c r="O38" s="271"/>
      <c r="P38" s="274"/>
      <c r="Q38" s="272"/>
      <c r="R38" s="272"/>
      <c r="S38" s="273"/>
      <c r="T38" s="273" t="s">
        <v>460</v>
      </c>
      <c r="U38" s="273"/>
      <c r="V38" s="273"/>
      <c r="W38" s="273"/>
      <c r="X38" s="273"/>
      <c r="Y38" s="273"/>
    </row>
    <row r="39" spans="1:25">
      <c r="A39" s="15" t="s">
        <v>506</v>
      </c>
      <c r="B39" s="12" t="s">
        <v>455</v>
      </c>
      <c r="C39" s="12" t="s">
        <v>456</v>
      </c>
      <c r="D39" s="12" t="s">
        <v>502</v>
      </c>
      <c r="E39" s="12" t="s">
        <v>469</v>
      </c>
      <c r="F39" s="263"/>
      <c r="G39" s="264"/>
      <c r="H39" s="264"/>
      <c r="I39" s="264">
        <v>10000</v>
      </c>
      <c r="J39" s="264">
        <v>5000</v>
      </c>
      <c r="K39" s="264">
        <v>5000</v>
      </c>
      <c r="L39" s="264">
        <v>5000</v>
      </c>
      <c r="M39" s="264">
        <v>10000</v>
      </c>
      <c r="N39" s="271">
        <v>20000</v>
      </c>
      <c r="O39" s="271"/>
      <c r="P39" s="274"/>
      <c r="Q39" s="272"/>
      <c r="R39" s="272"/>
      <c r="S39" s="273"/>
      <c r="T39" s="273" t="s">
        <v>460</v>
      </c>
      <c r="U39" s="273"/>
      <c r="V39" s="273"/>
      <c r="W39" s="273"/>
      <c r="X39" s="273"/>
      <c r="Y39" s="273"/>
    </row>
    <row r="40" spans="1:25">
      <c r="A40" s="15" t="s">
        <v>507</v>
      </c>
      <c r="B40" s="12" t="s">
        <v>455</v>
      </c>
      <c r="C40" s="12" t="s">
        <v>456</v>
      </c>
      <c r="D40" s="12" t="s">
        <v>508</v>
      </c>
      <c r="E40" s="12" t="s">
        <v>458</v>
      </c>
      <c r="F40" s="263">
        <v>30000</v>
      </c>
      <c r="G40" s="264"/>
      <c r="H40" s="264">
        <v>30000</v>
      </c>
      <c r="I40" s="264">
        <v>30000</v>
      </c>
      <c r="J40" s="264">
        <v>10000</v>
      </c>
      <c r="K40" s="264">
        <v>10000</v>
      </c>
      <c r="L40" s="264">
        <v>10000</v>
      </c>
      <c r="M40" s="264">
        <v>20000</v>
      </c>
      <c r="N40" s="271">
        <v>30000</v>
      </c>
      <c r="O40" s="271"/>
      <c r="P40" s="265" t="s">
        <v>484</v>
      </c>
      <c r="Q40" s="272">
        <v>10000</v>
      </c>
      <c r="R40" s="272"/>
      <c r="S40" s="273" t="s">
        <v>460</v>
      </c>
      <c r="T40" s="273" t="s">
        <v>460</v>
      </c>
      <c r="U40" s="273"/>
      <c r="V40" s="273" t="s">
        <v>460</v>
      </c>
      <c r="W40" s="273" t="s">
        <v>460</v>
      </c>
      <c r="X40" s="273" t="s">
        <v>460</v>
      </c>
      <c r="Y40" s="273"/>
    </row>
    <row r="41" spans="1:25">
      <c r="A41" s="15" t="s">
        <v>509</v>
      </c>
      <c r="B41" s="12" t="s">
        <v>455</v>
      </c>
      <c r="C41" s="12" t="s">
        <v>456</v>
      </c>
      <c r="D41" s="266" t="s">
        <v>508</v>
      </c>
      <c r="E41" s="12" t="s">
        <v>463</v>
      </c>
      <c r="F41" s="263">
        <v>10000</v>
      </c>
      <c r="G41" s="264"/>
      <c r="H41" s="264"/>
      <c r="I41" s="264"/>
      <c r="J41" s="264"/>
      <c r="K41" s="264"/>
      <c r="L41" s="264"/>
      <c r="M41" s="264"/>
      <c r="N41" s="271">
        <v>20000</v>
      </c>
      <c r="O41" s="271"/>
      <c r="P41" s="274"/>
      <c r="Q41" s="272"/>
      <c r="R41" s="272"/>
      <c r="S41" s="273"/>
      <c r="T41" s="273" t="s">
        <v>460</v>
      </c>
      <c r="U41" s="273"/>
      <c r="V41" s="273"/>
      <c r="W41" s="273"/>
      <c r="X41" s="273"/>
      <c r="Y41" s="273"/>
    </row>
    <row r="42" spans="1:25">
      <c r="A42" s="15" t="s">
        <v>510</v>
      </c>
      <c r="B42" s="12" t="s">
        <v>455</v>
      </c>
      <c r="C42" s="12" t="s">
        <v>456</v>
      </c>
      <c r="D42" s="266" t="s">
        <v>508</v>
      </c>
      <c r="E42" s="12" t="s">
        <v>465</v>
      </c>
      <c r="F42" s="263">
        <v>10000</v>
      </c>
      <c r="G42" s="264"/>
      <c r="H42" s="264"/>
      <c r="I42" s="264"/>
      <c r="J42" s="264"/>
      <c r="K42" s="264"/>
      <c r="L42" s="264"/>
      <c r="M42" s="264"/>
      <c r="N42" s="271">
        <v>20000</v>
      </c>
      <c r="O42" s="271"/>
      <c r="P42" s="274"/>
      <c r="Q42" s="272"/>
      <c r="R42" s="272"/>
      <c r="S42" s="273"/>
      <c r="T42" s="273" t="s">
        <v>460</v>
      </c>
      <c r="U42" s="273"/>
      <c r="V42" s="273"/>
      <c r="W42" s="273"/>
      <c r="X42" s="273"/>
      <c r="Y42" s="273"/>
    </row>
    <row r="43" spans="1:25">
      <c r="A43" s="15" t="s">
        <v>511</v>
      </c>
      <c r="B43" s="12" t="s">
        <v>455</v>
      </c>
      <c r="C43" s="12" t="s">
        <v>456</v>
      </c>
      <c r="D43" s="266" t="s">
        <v>508</v>
      </c>
      <c r="E43" s="12" t="s">
        <v>467</v>
      </c>
      <c r="F43" s="263">
        <v>10000</v>
      </c>
      <c r="G43" s="264"/>
      <c r="H43" s="264"/>
      <c r="I43" s="264"/>
      <c r="J43" s="264"/>
      <c r="K43" s="264"/>
      <c r="L43" s="264"/>
      <c r="M43" s="264"/>
      <c r="N43" s="271">
        <v>20000</v>
      </c>
      <c r="O43" s="271"/>
      <c r="P43" s="274"/>
      <c r="Q43" s="272"/>
      <c r="R43" s="272"/>
      <c r="S43" s="273"/>
      <c r="T43" s="273" t="s">
        <v>460</v>
      </c>
      <c r="U43" s="273"/>
      <c r="V43" s="273"/>
      <c r="W43" s="273"/>
      <c r="X43" s="273"/>
      <c r="Y43" s="273"/>
    </row>
    <row r="44" spans="1:25">
      <c r="A44" s="15" t="s">
        <v>512</v>
      </c>
      <c r="B44" s="12" t="s">
        <v>455</v>
      </c>
      <c r="C44" s="12" t="s">
        <v>456</v>
      </c>
      <c r="D44" s="266" t="s">
        <v>508</v>
      </c>
      <c r="E44" s="12" t="s">
        <v>469</v>
      </c>
      <c r="F44" s="263"/>
      <c r="G44" s="264"/>
      <c r="H44" s="264"/>
      <c r="I44" s="264"/>
      <c r="J44" s="264"/>
      <c r="K44" s="264"/>
      <c r="L44" s="264"/>
      <c r="M44" s="264"/>
      <c r="N44" s="271"/>
      <c r="O44" s="271"/>
      <c r="P44" s="274"/>
      <c r="Q44" s="272"/>
      <c r="R44" s="272"/>
      <c r="S44" s="273"/>
      <c r="T44" s="273"/>
      <c r="U44" s="273"/>
      <c r="V44" s="273"/>
      <c r="W44" s="273"/>
      <c r="X44" s="273"/>
      <c r="Y44" s="273"/>
    </row>
    <row r="45" spans="1:25">
      <c r="A45" s="15" t="s">
        <v>513</v>
      </c>
      <c r="B45" s="12" t="s">
        <v>514</v>
      </c>
      <c r="C45" s="12" t="s">
        <v>456</v>
      </c>
      <c r="D45" s="12" t="s">
        <v>457</v>
      </c>
      <c r="E45" s="12" t="s">
        <v>458</v>
      </c>
      <c r="F45" s="265" t="s">
        <v>515</v>
      </c>
      <c r="G45" s="265" t="s">
        <v>515</v>
      </c>
      <c r="H45" s="265" t="s">
        <v>515</v>
      </c>
      <c r="I45" s="265" t="s">
        <v>515</v>
      </c>
      <c r="J45" s="265" t="s">
        <v>515</v>
      </c>
      <c r="K45" s="265" t="s">
        <v>515</v>
      </c>
      <c r="L45" s="265" t="s">
        <v>515</v>
      </c>
      <c r="M45" s="265" t="s">
        <v>515</v>
      </c>
      <c r="N45" s="271">
        <v>30000</v>
      </c>
      <c r="O45" s="271">
        <v>30000</v>
      </c>
      <c r="P45" s="265" t="s">
        <v>484</v>
      </c>
      <c r="Q45" s="272">
        <v>10000</v>
      </c>
      <c r="R45" s="272">
        <v>10000</v>
      </c>
      <c r="S45" s="273"/>
      <c r="T45" s="273" t="s">
        <v>460</v>
      </c>
      <c r="U45" s="273" t="s">
        <v>460</v>
      </c>
      <c r="V45" s="273" t="s">
        <v>460</v>
      </c>
      <c r="W45" s="273" t="s">
        <v>460</v>
      </c>
      <c r="X45" s="273" t="s">
        <v>460</v>
      </c>
      <c r="Y45" s="273"/>
    </row>
    <row r="46" spans="1:25">
      <c r="A46" s="15" t="s">
        <v>516</v>
      </c>
      <c r="B46" s="12" t="s">
        <v>514</v>
      </c>
      <c r="C46" s="12" t="s">
        <v>456</v>
      </c>
      <c r="D46" s="12" t="s">
        <v>471</v>
      </c>
      <c r="E46" s="12" t="s">
        <v>458</v>
      </c>
      <c r="F46" s="265" t="s">
        <v>515</v>
      </c>
      <c r="G46" s="265" t="s">
        <v>515</v>
      </c>
      <c r="H46" s="265" t="s">
        <v>515</v>
      </c>
      <c r="I46" s="265" t="s">
        <v>515</v>
      </c>
      <c r="J46" s="265" t="s">
        <v>515</v>
      </c>
      <c r="K46" s="265" t="s">
        <v>515</v>
      </c>
      <c r="L46" s="265" t="s">
        <v>515</v>
      </c>
      <c r="M46" s="265" t="s">
        <v>515</v>
      </c>
      <c r="N46" s="271">
        <v>30000</v>
      </c>
      <c r="O46" s="271">
        <v>30000</v>
      </c>
      <c r="P46" s="265" t="s">
        <v>484</v>
      </c>
      <c r="Q46" s="272">
        <v>10000</v>
      </c>
      <c r="R46" s="272">
        <v>10000</v>
      </c>
      <c r="S46" s="273"/>
      <c r="T46" s="273" t="s">
        <v>460</v>
      </c>
      <c r="U46" s="273" t="s">
        <v>460</v>
      </c>
      <c r="V46" s="273" t="s">
        <v>460</v>
      </c>
      <c r="W46" s="273" t="s">
        <v>460</v>
      </c>
      <c r="X46" s="273" t="s">
        <v>460</v>
      </c>
      <c r="Y46" s="273"/>
    </row>
    <row r="47" spans="1:25">
      <c r="A47" s="15" t="s">
        <v>517</v>
      </c>
      <c r="B47" s="12" t="s">
        <v>514</v>
      </c>
      <c r="C47" s="12" t="s">
        <v>456</v>
      </c>
      <c r="D47" s="12" t="s">
        <v>477</v>
      </c>
      <c r="E47" s="12" t="s">
        <v>458</v>
      </c>
      <c r="F47" s="265" t="s">
        <v>515</v>
      </c>
      <c r="G47" s="265" t="s">
        <v>515</v>
      </c>
      <c r="H47" s="265" t="s">
        <v>515</v>
      </c>
      <c r="I47" s="265" t="s">
        <v>515</v>
      </c>
      <c r="J47" s="265" t="s">
        <v>515</v>
      </c>
      <c r="K47" s="265" t="s">
        <v>515</v>
      </c>
      <c r="L47" s="265" t="s">
        <v>515</v>
      </c>
      <c r="M47" s="265" t="s">
        <v>515</v>
      </c>
      <c r="N47" s="271">
        <v>30000</v>
      </c>
      <c r="O47" s="271">
        <v>30000</v>
      </c>
      <c r="P47" s="265" t="s">
        <v>484</v>
      </c>
      <c r="Q47" s="272">
        <v>10000</v>
      </c>
      <c r="R47" s="272">
        <v>10000</v>
      </c>
      <c r="S47" s="273"/>
      <c r="T47" s="273" t="s">
        <v>460</v>
      </c>
      <c r="U47" s="273" t="s">
        <v>460</v>
      </c>
      <c r="V47" s="273" t="s">
        <v>460</v>
      </c>
      <c r="W47" s="273" t="s">
        <v>460</v>
      </c>
      <c r="X47" s="273" t="s">
        <v>460</v>
      </c>
      <c r="Y47" s="273"/>
    </row>
    <row r="48" spans="1:25">
      <c r="A48" s="15" t="s">
        <v>518</v>
      </c>
      <c r="B48" s="12" t="s">
        <v>514</v>
      </c>
      <c r="C48" s="12" t="s">
        <v>456</v>
      </c>
      <c r="D48" s="12" t="s">
        <v>483</v>
      </c>
      <c r="E48" s="12" t="s">
        <v>458</v>
      </c>
      <c r="F48" s="265" t="s">
        <v>515</v>
      </c>
      <c r="G48" s="265" t="s">
        <v>515</v>
      </c>
      <c r="H48" s="265" t="s">
        <v>515</v>
      </c>
      <c r="I48" s="265" t="s">
        <v>515</v>
      </c>
      <c r="J48" s="265" t="s">
        <v>515</v>
      </c>
      <c r="K48" s="265" t="s">
        <v>515</v>
      </c>
      <c r="L48" s="265" t="s">
        <v>515</v>
      </c>
      <c r="M48" s="265" t="s">
        <v>515</v>
      </c>
      <c r="N48" s="271">
        <v>30000</v>
      </c>
      <c r="O48" s="271">
        <v>30000</v>
      </c>
      <c r="P48" s="265" t="s">
        <v>484</v>
      </c>
      <c r="Q48" s="272">
        <v>10000</v>
      </c>
      <c r="R48" s="272">
        <v>10000</v>
      </c>
      <c r="S48" s="273"/>
      <c r="T48" s="273" t="s">
        <v>460</v>
      </c>
      <c r="U48" s="273" t="s">
        <v>460</v>
      </c>
      <c r="V48" s="273" t="s">
        <v>460</v>
      </c>
      <c r="W48" s="273" t="s">
        <v>460</v>
      </c>
      <c r="X48" s="273" t="s">
        <v>460</v>
      </c>
      <c r="Y48" s="273"/>
    </row>
    <row r="49" spans="1:25">
      <c r="A49" s="15" t="s">
        <v>519</v>
      </c>
      <c r="B49" s="12" t="s">
        <v>514</v>
      </c>
      <c r="C49" s="12" t="s">
        <v>456</v>
      </c>
      <c r="D49" s="12" t="s">
        <v>520</v>
      </c>
      <c r="E49" s="12" t="s">
        <v>458</v>
      </c>
      <c r="F49" s="265" t="s">
        <v>515</v>
      </c>
      <c r="G49" s="265" t="s">
        <v>515</v>
      </c>
      <c r="H49" s="265" t="s">
        <v>515</v>
      </c>
      <c r="I49" s="265" t="s">
        <v>515</v>
      </c>
      <c r="J49" s="265" t="s">
        <v>515</v>
      </c>
      <c r="K49" s="265" t="s">
        <v>515</v>
      </c>
      <c r="L49" s="265" t="s">
        <v>515</v>
      </c>
      <c r="M49" s="265" t="s">
        <v>515</v>
      </c>
      <c r="N49" s="271">
        <v>30000</v>
      </c>
      <c r="O49" s="271">
        <v>30000</v>
      </c>
      <c r="P49" s="265" t="s">
        <v>484</v>
      </c>
      <c r="Q49" s="272">
        <v>10000</v>
      </c>
      <c r="R49" s="272">
        <v>10000</v>
      </c>
      <c r="S49" s="273"/>
      <c r="T49" s="273" t="s">
        <v>460</v>
      </c>
      <c r="U49" s="273" t="s">
        <v>460</v>
      </c>
      <c r="V49" s="273" t="s">
        <v>460</v>
      </c>
      <c r="W49" s="273" t="s">
        <v>460</v>
      </c>
      <c r="X49" s="273" t="s">
        <v>460</v>
      </c>
      <c r="Y49" s="273"/>
    </row>
    <row r="50" spans="1:25">
      <c r="A50" s="15" t="s">
        <v>521</v>
      </c>
      <c r="B50" s="12" t="s">
        <v>514</v>
      </c>
      <c r="C50" s="12" t="s">
        <v>456</v>
      </c>
      <c r="D50" s="12" t="s">
        <v>496</v>
      </c>
      <c r="E50" s="12" t="s">
        <v>458</v>
      </c>
      <c r="F50" s="265" t="s">
        <v>515</v>
      </c>
      <c r="G50" s="265" t="s">
        <v>515</v>
      </c>
      <c r="H50" s="265" t="s">
        <v>515</v>
      </c>
      <c r="I50" s="265" t="s">
        <v>515</v>
      </c>
      <c r="J50" s="265" t="s">
        <v>515</v>
      </c>
      <c r="K50" s="265" t="s">
        <v>515</v>
      </c>
      <c r="L50" s="265" t="s">
        <v>515</v>
      </c>
      <c r="M50" s="265" t="s">
        <v>515</v>
      </c>
      <c r="N50" s="271">
        <v>30000</v>
      </c>
      <c r="O50" s="271">
        <v>30000</v>
      </c>
      <c r="P50" s="265" t="s">
        <v>484</v>
      </c>
      <c r="Q50" s="272">
        <v>10000</v>
      </c>
      <c r="R50" s="272">
        <v>10000</v>
      </c>
      <c r="S50" s="273"/>
      <c r="T50" s="273" t="s">
        <v>460</v>
      </c>
      <c r="U50" s="273" t="s">
        <v>460</v>
      </c>
      <c r="V50" s="273" t="s">
        <v>460</v>
      </c>
      <c r="W50" s="273" t="s">
        <v>460</v>
      </c>
      <c r="X50" s="273" t="s">
        <v>460</v>
      </c>
      <c r="Y50" s="273"/>
    </row>
    <row r="51" spans="1:25">
      <c r="A51" s="15" t="s">
        <v>522</v>
      </c>
      <c r="B51" s="12" t="s">
        <v>514</v>
      </c>
      <c r="C51" s="12" t="s">
        <v>456</v>
      </c>
      <c r="D51" s="12" t="s">
        <v>502</v>
      </c>
      <c r="E51" s="12" t="s">
        <v>458</v>
      </c>
      <c r="F51" s="265" t="s">
        <v>515</v>
      </c>
      <c r="G51" s="265" t="s">
        <v>515</v>
      </c>
      <c r="H51" s="265" t="s">
        <v>515</v>
      </c>
      <c r="I51" s="265" t="s">
        <v>515</v>
      </c>
      <c r="J51" s="265" t="s">
        <v>515</v>
      </c>
      <c r="K51" s="265" t="s">
        <v>515</v>
      </c>
      <c r="L51" s="265" t="s">
        <v>515</v>
      </c>
      <c r="M51" s="265" t="s">
        <v>515</v>
      </c>
      <c r="N51" s="271">
        <v>30000</v>
      </c>
      <c r="O51" s="271">
        <v>30000</v>
      </c>
      <c r="P51" s="265" t="s">
        <v>484</v>
      </c>
      <c r="Q51" s="272">
        <v>10000</v>
      </c>
      <c r="R51" s="272">
        <v>10000</v>
      </c>
      <c r="S51" s="273"/>
      <c r="T51" s="273" t="s">
        <v>460</v>
      </c>
      <c r="U51" s="273" t="s">
        <v>460</v>
      </c>
      <c r="V51" s="273" t="s">
        <v>460</v>
      </c>
      <c r="W51" s="273" t="s">
        <v>460</v>
      </c>
      <c r="X51" s="273" t="s">
        <v>460</v>
      </c>
      <c r="Y51" s="273"/>
    </row>
    <row r="52" spans="1:25">
      <c r="A52" s="15" t="s">
        <v>523</v>
      </c>
      <c r="B52" s="12" t="s">
        <v>514</v>
      </c>
      <c r="C52" s="12" t="s">
        <v>456</v>
      </c>
      <c r="D52" s="12" t="s">
        <v>508</v>
      </c>
      <c r="E52" s="12" t="s">
        <v>458</v>
      </c>
      <c r="F52" s="265" t="s">
        <v>515</v>
      </c>
      <c r="G52" s="265" t="s">
        <v>515</v>
      </c>
      <c r="H52" s="265" t="s">
        <v>515</v>
      </c>
      <c r="I52" s="265" t="s">
        <v>515</v>
      </c>
      <c r="J52" s="265" t="s">
        <v>515</v>
      </c>
      <c r="K52" s="265" t="s">
        <v>515</v>
      </c>
      <c r="L52" s="265" t="s">
        <v>515</v>
      </c>
      <c r="M52" s="265" t="s">
        <v>515</v>
      </c>
      <c r="N52" s="271">
        <v>30000</v>
      </c>
      <c r="O52" s="271">
        <v>30000</v>
      </c>
      <c r="P52" s="265" t="s">
        <v>484</v>
      </c>
      <c r="Q52" s="272">
        <v>10000</v>
      </c>
      <c r="R52" s="272">
        <v>10000</v>
      </c>
      <c r="S52" s="273"/>
      <c r="T52" s="273" t="s">
        <v>460</v>
      </c>
      <c r="U52" s="273" t="s">
        <v>460</v>
      </c>
      <c r="V52" s="273" t="s">
        <v>460</v>
      </c>
      <c r="W52" s="273" t="s">
        <v>460</v>
      </c>
      <c r="X52" s="273" t="s">
        <v>460</v>
      </c>
      <c r="Y52" s="273"/>
    </row>
    <row r="53" spans="1:25">
      <c r="A53" s="15" t="s">
        <v>524</v>
      </c>
      <c r="B53" s="12" t="s">
        <v>455</v>
      </c>
      <c r="C53" s="12" t="s">
        <v>385</v>
      </c>
      <c r="D53" s="12" t="s">
        <v>525</v>
      </c>
      <c r="E53" s="12" t="s">
        <v>458</v>
      </c>
      <c r="F53" s="263">
        <v>30000</v>
      </c>
      <c r="G53" s="264"/>
      <c r="H53" s="264"/>
      <c r="I53" s="264"/>
      <c r="J53" s="264">
        <v>5000</v>
      </c>
      <c r="K53" s="264">
        <v>5000</v>
      </c>
      <c r="L53" s="264">
        <v>5000</v>
      </c>
      <c r="M53" s="264"/>
      <c r="N53" s="271">
        <v>30000</v>
      </c>
      <c r="O53" s="271"/>
      <c r="P53" s="274"/>
      <c r="Q53" s="272"/>
      <c r="R53" s="272"/>
      <c r="S53" s="273"/>
      <c r="T53" s="273" t="s">
        <v>460</v>
      </c>
      <c r="U53" s="273"/>
      <c r="V53" s="273"/>
      <c r="W53" s="273"/>
      <c r="X53" s="273"/>
      <c r="Y53" s="273"/>
    </row>
    <row r="54" spans="1:25">
      <c r="A54" s="15" t="s">
        <v>526</v>
      </c>
      <c r="B54" s="12" t="s">
        <v>455</v>
      </c>
      <c r="C54" s="12" t="s">
        <v>385</v>
      </c>
      <c r="D54" s="12" t="s">
        <v>471</v>
      </c>
      <c r="E54" s="12" t="s">
        <v>458</v>
      </c>
      <c r="F54" s="263">
        <v>30000</v>
      </c>
      <c r="G54" s="264"/>
      <c r="H54" s="264"/>
      <c r="I54" s="264"/>
      <c r="J54" s="264">
        <v>5000</v>
      </c>
      <c r="K54" s="264">
        <v>5000</v>
      </c>
      <c r="L54" s="264">
        <v>5000</v>
      </c>
      <c r="M54" s="264"/>
      <c r="N54" s="271">
        <v>30000</v>
      </c>
      <c r="O54" s="271"/>
      <c r="P54" s="274"/>
      <c r="Q54" s="272"/>
      <c r="R54" s="272"/>
      <c r="S54" s="273"/>
      <c r="T54" s="273" t="s">
        <v>460</v>
      </c>
      <c r="U54" s="273"/>
      <c r="V54" s="273"/>
      <c r="W54" s="273"/>
      <c r="X54" s="273"/>
      <c r="Y54" s="273"/>
    </row>
    <row r="55" spans="1:25">
      <c r="A55" s="15" t="s">
        <v>527</v>
      </c>
      <c r="B55" s="12" t="s">
        <v>455</v>
      </c>
      <c r="C55" s="12" t="s">
        <v>385</v>
      </c>
      <c r="D55" s="12" t="s">
        <v>477</v>
      </c>
      <c r="E55" s="12" t="s">
        <v>458</v>
      </c>
      <c r="F55" s="263">
        <v>30000</v>
      </c>
      <c r="G55" s="264"/>
      <c r="H55" s="264"/>
      <c r="I55" s="264"/>
      <c r="J55" s="264">
        <v>5000</v>
      </c>
      <c r="K55" s="264">
        <v>5000</v>
      </c>
      <c r="L55" s="264">
        <v>5000</v>
      </c>
      <c r="M55" s="264"/>
      <c r="N55" s="271">
        <v>30000</v>
      </c>
      <c r="O55" s="271"/>
      <c r="P55" s="274"/>
      <c r="Q55" s="272"/>
      <c r="R55" s="272"/>
      <c r="S55" s="273"/>
      <c r="T55" s="273" t="s">
        <v>460</v>
      </c>
      <c r="U55" s="273"/>
      <c r="V55" s="273"/>
      <c r="W55" s="273"/>
      <c r="X55" s="273"/>
      <c r="Y55" s="273"/>
    </row>
    <row r="56" spans="1:25">
      <c r="A56" s="15" t="s">
        <v>528</v>
      </c>
      <c r="B56" s="12" t="s">
        <v>455</v>
      </c>
      <c r="C56" s="12" t="s">
        <v>385</v>
      </c>
      <c r="D56" s="12" t="s">
        <v>483</v>
      </c>
      <c r="E56" s="12" t="s">
        <v>458</v>
      </c>
      <c r="F56" s="263">
        <v>30000</v>
      </c>
      <c r="G56" s="264"/>
      <c r="H56" s="264"/>
      <c r="I56" s="264"/>
      <c r="J56" s="264">
        <v>5000</v>
      </c>
      <c r="K56" s="264">
        <v>5000</v>
      </c>
      <c r="L56" s="264">
        <v>5000</v>
      </c>
      <c r="M56" s="264"/>
      <c r="N56" s="271">
        <v>30000</v>
      </c>
      <c r="O56" s="271"/>
      <c r="P56" s="274"/>
      <c r="Q56" s="272"/>
      <c r="R56" s="272"/>
      <c r="S56" s="273"/>
      <c r="T56" s="273" t="s">
        <v>460</v>
      </c>
      <c r="U56" s="273"/>
      <c r="V56" s="273"/>
      <c r="W56" s="273"/>
      <c r="X56" s="273"/>
      <c r="Y56" s="273"/>
    </row>
    <row r="57" spans="1:25">
      <c r="A57" s="15" t="s">
        <v>529</v>
      </c>
      <c r="B57" s="12" t="s">
        <v>455</v>
      </c>
      <c r="C57" s="12" t="s">
        <v>385</v>
      </c>
      <c r="D57" s="12" t="s">
        <v>520</v>
      </c>
      <c r="E57" s="12" t="s">
        <v>458</v>
      </c>
      <c r="F57" s="263">
        <v>30000</v>
      </c>
      <c r="G57" s="264"/>
      <c r="H57" s="264"/>
      <c r="I57" s="264"/>
      <c r="J57" s="264">
        <v>5000</v>
      </c>
      <c r="K57" s="264">
        <v>5000</v>
      </c>
      <c r="L57" s="264">
        <v>5000</v>
      </c>
      <c r="M57" s="264"/>
      <c r="N57" s="271">
        <v>30000</v>
      </c>
      <c r="O57" s="271"/>
      <c r="P57" s="274"/>
      <c r="Q57" s="272"/>
      <c r="R57" s="272"/>
      <c r="S57" s="273"/>
      <c r="T57" s="273" t="s">
        <v>460</v>
      </c>
      <c r="U57" s="273"/>
      <c r="V57" s="273"/>
      <c r="W57" s="273"/>
      <c r="X57" s="273"/>
      <c r="Y57" s="273"/>
    </row>
    <row r="58" spans="1:25">
      <c r="A58" s="15" t="s">
        <v>530</v>
      </c>
      <c r="B58" s="12" t="s">
        <v>455</v>
      </c>
      <c r="C58" s="12" t="s">
        <v>385</v>
      </c>
      <c r="D58" s="12" t="s">
        <v>496</v>
      </c>
      <c r="E58" s="12" t="s">
        <v>458</v>
      </c>
      <c r="F58" s="263">
        <v>30000</v>
      </c>
      <c r="G58" s="264"/>
      <c r="H58" s="264"/>
      <c r="I58" s="264"/>
      <c r="J58" s="264">
        <v>5000</v>
      </c>
      <c r="K58" s="264">
        <v>5000</v>
      </c>
      <c r="L58" s="264">
        <v>5000</v>
      </c>
      <c r="M58" s="264"/>
      <c r="N58" s="271">
        <v>30000</v>
      </c>
      <c r="O58" s="271"/>
      <c r="P58" s="274"/>
      <c r="Q58" s="272"/>
      <c r="R58" s="272"/>
      <c r="S58" s="273"/>
      <c r="T58" s="273" t="s">
        <v>460</v>
      </c>
      <c r="U58" s="273"/>
      <c r="V58" s="273"/>
      <c r="W58" s="273"/>
      <c r="X58" s="273"/>
      <c r="Y58" s="273"/>
    </row>
    <row r="59" spans="1:25">
      <c r="A59" s="15" t="s">
        <v>531</v>
      </c>
      <c r="B59" s="12" t="s">
        <v>455</v>
      </c>
      <c r="C59" s="12" t="s">
        <v>385</v>
      </c>
      <c r="D59" s="12" t="s">
        <v>502</v>
      </c>
      <c r="E59" s="12" t="s">
        <v>458</v>
      </c>
      <c r="F59" s="263">
        <v>30000</v>
      </c>
      <c r="G59" s="264"/>
      <c r="H59" s="264"/>
      <c r="I59" s="264"/>
      <c r="J59" s="264">
        <v>5000</v>
      </c>
      <c r="K59" s="264">
        <v>5000</v>
      </c>
      <c r="L59" s="264">
        <v>5000</v>
      </c>
      <c r="M59" s="264"/>
      <c r="N59" s="271">
        <v>30000</v>
      </c>
      <c r="O59" s="271"/>
      <c r="P59" s="274"/>
      <c r="Q59" s="272"/>
      <c r="R59" s="272"/>
      <c r="S59" s="273"/>
      <c r="T59" s="273" t="s">
        <v>460</v>
      </c>
      <c r="U59" s="273"/>
      <c r="V59" s="273"/>
      <c r="W59" s="273"/>
      <c r="X59" s="273"/>
      <c r="Y59" s="273"/>
    </row>
    <row r="60" spans="1:25">
      <c r="A60" s="15" t="s">
        <v>532</v>
      </c>
      <c r="B60" s="12" t="s">
        <v>455</v>
      </c>
      <c r="C60" s="12" t="s">
        <v>385</v>
      </c>
      <c r="D60" s="12" t="s">
        <v>508</v>
      </c>
      <c r="E60" s="12" t="s">
        <v>458</v>
      </c>
      <c r="F60" s="263">
        <v>30000</v>
      </c>
      <c r="G60" s="264"/>
      <c r="H60" s="264"/>
      <c r="I60" s="264"/>
      <c r="J60" s="264">
        <v>5000</v>
      </c>
      <c r="K60" s="264">
        <v>5000</v>
      </c>
      <c r="L60" s="264">
        <v>5000</v>
      </c>
      <c r="M60" s="264"/>
      <c r="N60" s="271">
        <v>30000</v>
      </c>
      <c r="O60" s="271"/>
      <c r="P60" s="274"/>
      <c r="Q60" s="272"/>
      <c r="R60" s="272"/>
      <c r="S60" s="273"/>
      <c r="T60" s="273" t="s">
        <v>460</v>
      </c>
      <c r="U60" s="273"/>
      <c r="V60" s="273"/>
      <c r="W60" s="273"/>
      <c r="X60" s="273"/>
      <c r="Y60" s="273"/>
    </row>
  </sheetData>
  <autoFilter ref="A4:Y60" xr:uid="{00000000-0009-0000-0000-000007000000}"/>
  <mergeCells count="5">
    <mergeCell ref="G3:M3"/>
    <mergeCell ref="N3:O3"/>
    <mergeCell ref="Q3:R3"/>
    <mergeCell ref="S3:Y3"/>
    <mergeCell ref="A3:A4"/>
  </mergeCells>
  <phoneticPr fontId="1"/>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9dc673b-9e34-4001-b69a-8484e8c1b815" xsi:nil="true"/>
    <lcf76f155ced4ddcb4097134ff3c332f xmlns="0af1ca88-9f6f-452b-95fb-73118f7de15c">
      <Terms xmlns="http://schemas.microsoft.com/office/infopath/2007/PartnerControls"/>
    </lcf76f155ced4ddcb4097134ff3c332f>
    <_x7ba1__x7406__x8005_ xmlns="0af1ca88-9f6f-452b-95fb-73118f7de15c" xsi:nil="true"/>
    <_x62c5__x5f53_G xmlns="0af1ca88-9f6f-452b-95fb-73118f7de15c"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15DE9A9C6DC6074D8C6CBC53810FEC08" ma:contentTypeVersion="18" ma:contentTypeDescription="新しいドキュメントを作成します。" ma:contentTypeScope="" ma:versionID="585e024390c9d9989b627d47f5ad0891">
  <xsd:schema xmlns:xsd="http://www.w3.org/2001/XMLSchema" xmlns:xs="http://www.w3.org/2001/XMLSchema" xmlns:p="http://schemas.microsoft.com/office/2006/metadata/properties" xmlns:ns2="0af1ca88-9f6f-452b-95fb-73118f7de15c" xmlns:ns3="d9dc673b-9e34-4001-b69a-8484e8c1b815" xmlns:ns4="b39ec3b3-1a40-47d2-89cb-b5c7fa4f55e2" targetNamespace="http://schemas.microsoft.com/office/2006/metadata/properties" ma:root="true" ma:fieldsID="c62ccfb3f10d2d7905b351321b105303" ns2:_="" ns3:_="" ns4:_="">
    <xsd:import namespace="0af1ca88-9f6f-452b-95fb-73118f7de15c"/>
    <xsd:import namespace="d9dc673b-9e34-4001-b69a-8484e8c1b815"/>
    <xsd:import namespace="b39ec3b3-1a40-47d2-89cb-b5c7fa4f55e2"/>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4:SharedWithUsers" minOccurs="0"/>
                <xsd:element ref="ns4:SharedWithDetails" minOccurs="0"/>
                <xsd:element ref="ns2:MediaLengthInSeconds" minOccurs="0"/>
                <xsd:element ref="ns2:_x62c5__x5f53_G" minOccurs="0"/>
                <xsd:element ref="ns2:_x7ba1__x7406__x8005_"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f1ca88-9f6f-452b-95fb-73118f7de1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画像タグ" ma:readOnly="false" ma:fieldId="{5cf76f15-5ced-4ddc-b409-7134ff3c332f}" ma:taxonomyMulti="true" ma:sspId="401df557-eeb5-435c-8d7c-77a7fa12a987"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x62c5__x5f53_G" ma:index="20" nillable="true" ma:displayName="担当G" ma:format="Dropdown" ma:internalName="_x62c5__x5f53_G">
      <xsd:simpleType>
        <xsd:restriction base="dms:Text">
          <xsd:maxLength value="255"/>
        </xsd:restriction>
      </xsd:simpleType>
    </xsd:element>
    <xsd:element name="_x7ba1__x7406__x8005_" ma:index="21" nillable="true" ma:displayName="管理者" ma:format="Dropdown" ma:internalName="_x7ba1__x7406__x8005_">
      <xsd:simpleType>
        <xsd:restriction base="dms:Text">
          <xsd:maxLength value="255"/>
        </xsd:restrictio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9dc673b-9e34-4001-b69a-8484e8c1b815"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2D6BBA0A-F75A-463C-90D3-A5125DDEA2E4}" ma:internalName="TaxCatchAll" ma:showField="CatchAllData" ma:web="{b39ec3b3-1a40-47d2-89cb-b5c7fa4f55e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39ec3b3-1a40-47d2-89cb-b5c7fa4f55e2" elementFormDefault="qualified">
    <xsd:import namespace="http://schemas.microsoft.com/office/2006/documentManagement/types"/>
    <xsd:import namespace="http://schemas.microsoft.com/office/infopath/2007/PartnerControls"/>
    <xsd:element name="SharedWithUsers" ma:index="17"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D6A313D-67CA-4154-9D61-1EF2F3EC1388}"/>
</file>

<file path=customXml/itemProps2.xml><?xml version="1.0" encoding="utf-8"?>
<ds:datastoreItem xmlns:ds="http://schemas.openxmlformats.org/officeDocument/2006/customXml" ds:itemID="{159819C9-B861-4BDD-9A12-88598D89E0A1}"/>
</file>

<file path=customXml/itemProps3.xml><?xml version="1.0" encoding="utf-8"?>
<ds:datastoreItem xmlns:ds="http://schemas.openxmlformats.org/officeDocument/2006/customXml" ds:itemID="{F44EA61A-30C9-499D-97DD-218AD0195F1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MIMI TAKAHASHI/高橋　美海</dc:creator>
  <cp:keywords/>
  <dc:description/>
  <cp:lastModifiedBy/>
  <cp:revision/>
  <dcterms:created xsi:type="dcterms:W3CDTF">2021-08-23T06:04:37Z</dcterms:created>
  <dcterms:modified xsi:type="dcterms:W3CDTF">2024-08-07T01:42:44Z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0x01010015DE9A9C6DC6074D8C6CBC53810FEC08</vt:lpwstr>
  </property>
  <property fmtid="{D5CDD505-2E9C-101B-9397-08002B2CF9AE}" pid="3" name="_dlc_policyId">
    <vt:lpwstr/>
  </property>
  <property fmtid="{D5CDD505-2E9C-101B-9397-08002B2CF9AE}" pid="4" name="ItemRetentionFormula">
    <vt:lpwstr/>
  </property>
  <property fmtid="{D5CDD505-2E9C-101B-9397-08002B2CF9AE}" pid="5" name="e1a5b98cdd71426dacb6e478c7a5882f">
    <vt:lpwstr/>
  </property>
  <property fmtid="{D5CDD505-2E9C-101B-9397-08002B2CF9AE}" pid="6" name="MediaServiceImageTags">
    <vt:lpwstr/>
  </property>
  <property fmtid="{D5CDD505-2E9C-101B-9397-08002B2CF9AE}" pid="7" name="Wiki_x0020_Page_x0020_Categories">
    <vt:lpwstr/>
  </property>
  <property fmtid="{D5CDD505-2E9C-101B-9397-08002B2CF9AE}" pid="8" name="TaxCatchAll">
    <vt:lpwstr/>
  </property>
  <property fmtid="{D5CDD505-2E9C-101B-9397-08002B2CF9AE}" pid="9" name="Wiki Page Categories">
    <vt:lpwstr/>
  </property>
  <property fmtid="{D5CDD505-2E9C-101B-9397-08002B2CF9AE}" pid="10" name="PublishingContact">
    <vt:lpwstr/>
  </property>
  <property fmtid="{D5CDD505-2E9C-101B-9397-08002B2CF9AE}" pid="11" name="RatedBy">
    <vt:lpwstr/>
  </property>
  <property fmtid="{D5CDD505-2E9C-101B-9397-08002B2CF9AE}" pid="12" name="PublishingVariationRelationshipLinkFieldID">
    <vt:lpwstr>, </vt:lpwstr>
  </property>
  <property fmtid="{D5CDD505-2E9C-101B-9397-08002B2CF9AE}" pid="13" name="PublishingIsFurlPage">
    <vt:bool>false</vt:bool>
  </property>
  <property fmtid="{D5CDD505-2E9C-101B-9397-08002B2CF9AE}" pid="14" name="PublishingContactPicture">
    <vt:lpwstr>, </vt:lpwstr>
  </property>
  <property fmtid="{D5CDD505-2E9C-101B-9397-08002B2CF9AE}" pid="15" name="LikedBy">
    <vt:lpwstr/>
  </property>
  <property fmtid="{D5CDD505-2E9C-101B-9397-08002B2CF9AE}" pid="16" name="lcf76f155ced4ddcb4097134ff3c332f">
    <vt:lpwstr/>
  </property>
</Properties>
</file>